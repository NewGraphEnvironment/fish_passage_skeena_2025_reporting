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peace_fwcp_2023/"/>
    </mc:Choice>
  </mc:AlternateContent>
  <xr:revisionPtr revIDLastSave="0" documentId="13_ncr:1_{4F9C3FB6-0938-3B43-A5C6-E092EF766DFA}" xr6:coauthVersionLast="47" xr6:coauthVersionMax="47" xr10:uidLastSave="{00000000-0000-0000-0000-000000000000}"/>
  <bookViews>
    <workbookView xWindow="38520" yWindow="15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L6" i="2" s="1"/>
  <c r="AM6" i="2" s="1"/>
  <c r="AG6" i="2"/>
  <c r="AH6" i="2"/>
  <c r="AI6" i="2"/>
  <c r="AJ6" i="2"/>
  <c r="AF7" i="2"/>
  <c r="AK7" i="2" s="1"/>
  <c r="AG7" i="2"/>
  <c r="AH7" i="2"/>
  <c r="AI7" i="2"/>
  <c r="AJ7" i="2"/>
  <c r="AF8" i="2"/>
  <c r="AK8" i="2" s="1"/>
  <c r="AL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s="1"/>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s="1"/>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G169" i="2"/>
  <c r="AL169" i="2" s="1"/>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s="1"/>
  <c r="AG597" i="2"/>
  <c r="AL597" i="2" s="1"/>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L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L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L2006" i="2" s="1"/>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L2091" i="2" s="1"/>
  <c r="AF2092" i="2"/>
  <c r="AK2092" i="2" s="1"/>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c r="AG2151" i="2"/>
  <c r="AH2151" i="2"/>
  <c r="AL2151" i="2" s="1"/>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L2216" i="2" s="1"/>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L2255" i="2" s="1"/>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s="1"/>
  <c r="AG2354" i="2"/>
  <c r="AH2354" i="2"/>
  <c r="AI2354" i="2"/>
  <c r="AJ2354" i="2"/>
  <c r="AF2355" i="2"/>
  <c r="AK2355" i="2"/>
  <c r="AL2355" i="2" s="1"/>
  <c r="AG2355" i="2"/>
  <c r="AH2355" i="2"/>
  <c r="AI2355" i="2"/>
  <c r="AJ2355" i="2"/>
  <c r="AF2356" i="2"/>
  <c r="AK2356" i="2"/>
  <c r="AG2356" i="2"/>
  <c r="AH2356" i="2"/>
  <c r="AI2356" i="2"/>
  <c r="AJ2356" i="2"/>
  <c r="AF2357" i="2"/>
  <c r="AK2357" i="2" s="1"/>
  <c r="AL2357" i="2" s="1"/>
  <c r="AG2357" i="2"/>
  <c r="AH2357" i="2"/>
  <c r="AI2357" i="2"/>
  <c r="AJ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c r="AG2364" i="2"/>
  <c r="AH2364" i="2"/>
  <c r="AI2364" i="2"/>
  <c r="AL2364" i="2" s="1"/>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L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L2390" i="2" s="1"/>
  <c r="AI2390" i="2"/>
  <c r="AJ2390" i="2"/>
  <c r="AF2391" i="2"/>
  <c r="AK2391" i="2"/>
  <c r="AG2391" i="2"/>
  <c r="AH2391" i="2"/>
  <c r="AI2391" i="2"/>
  <c r="AJ2391" i="2"/>
  <c r="AF2392" i="2"/>
  <c r="AK2392" i="2"/>
  <c r="AG2392" i="2"/>
  <c r="AH2392" i="2"/>
  <c r="AI2392" i="2"/>
  <c r="AJ2392" i="2"/>
  <c r="AL2392" i="2" s="1"/>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L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s="1"/>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L2476" i="2" s="1"/>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L2542" i="2" s="1"/>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L2606" i="2" s="1"/>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L2622" i="2" s="1"/>
  <c r="AJ2622" i="2"/>
  <c r="AF2623" i="2"/>
  <c r="AK2623" i="2"/>
  <c r="AG2623" i="2"/>
  <c r="AH2623" i="2"/>
  <c r="AI2623" i="2"/>
  <c r="AJ2623" i="2"/>
  <c r="AF2624" i="2"/>
  <c r="AK2624" i="2"/>
  <c r="AG2624" i="2"/>
  <c r="AH2624" i="2"/>
  <c r="AI2624" i="2"/>
  <c r="AJ2624" i="2"/>
  <c r="AL2624" i="2" s="1"/>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L2673" i="2" s="1"/>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L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L2727" i="2" s="1"/>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L2827" i="2" s="1"/>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s="1"/>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L2884" i="2" s="1"/>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L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L2923" i="2" s="1"/>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L3099" i="2" s="1"/>
  <c r="AG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s="1"/>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s="1"/>
  <c r="AL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L3173" i="2" s="1"/>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L3177" i="2" s="1"/>
  <c r="AG3177" i="2"/>
  <c r="AH3177" i="2"/>
  <c r="AI3177" i="2"/>
  <c r="AJ3177" i="2"/>
  <c r="AF3178" i="2"/>
  <c r="AK3178" i="2" s="1"/>
  <c r="AG3178" i="2"/>
  <c r="AH3178" i="2"/>
  <c r="AI3178" i="2"/>
  <c r="AJ3178" i="2"/>
  <c r="AF3179" i="2"/>
  <c r="AK3179" i="2" s="1"/>
  <c r="AL3179" i="2" s="1"/>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L3184" i="2" s="1"/>
  <c r="AI3184" i="2"/>
  <c r="AJ3184" i="2"/>
  <c r="AF3185" i="2"/>
  <c r="AK3185" i="2"/>
  <c r="AG3185" i="2"/>
  <c r="AH3185" i="2"/>
  <c r="AI3185" i="2"/>
  <c r="AJ3185" i="2"/>
  <c r="AF3186" i="2"/>
  <c r="AK3186" i="2"/>
  <c r="AL3186" i="2" s="1"/>
  <c r="AG3186" i="2"/>
  <c r="AH3186" i="2"/>
  <c r="AI3186" i="2"/>
  <c r="AJ3186" i="2"/>
  <c r="AF3187" i="2"/>
  <c r="AG3187" i="2"/>
  <c r="AH3187" i="2"/>
  <c r="AI3187" i="2"/>
  <c r="AJ3187" i="2"/>
  <c r="AK3187" i="2"/>
  <c r="AL3187" i="2" s="1"/>
  <c r="AF3188" i="2"/>
  <c r="AK3188" i="2" s="1"/>
  <c r="AG3188" i="2"/>
  <c r="AH3188" i="2"/>
  <c r="AI3188" i="2"/>
  <c r="AJ3188" i="2"/>
  <c r="AF3189" i="2"/>
  <c r="AK3189" i="2" s="1"/>
  <c r="AG3189" i="2"/>
  <c r="AH3189" i="2"/>
  <c r="AI3189" i="2"/>
  <c r="AL3189" i="2" s="1"/>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s="1"/>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L3239" i="2" s="1"/>
  <c r="AJ3239" i="2"/>
  <c r="AF3240" i="2"/>
  <c r="AK3240" i="2" s="1"/>
  <c r="AG3240" i="2"/>
  <c r="AH3240" i="2"/>
  <c r="AI3240" i="2"/>
  <c r="AJ3240" i="2"/>
  <c r="AF3241" i="2"/>
  <c r="AK3241" i="2"/>
  <c r="AG3241" i="2"/>
  <c r="AH3241" i="2"/>
  <c r="AL3241" i="2" s="1"/>
  <c r="AI3241" i="2"/>
  <c r="AJ3241" i="2"/>
  <c r="AF3242" i="2"/>
  <c r="AK3242" i="2" s="1"/>
  <c r="AG3242" i="2"/>
  <c r="AH3242" i="2"/>
  <c r="AI3242" i="2"/>
  <c r="AJ3242" i="2"/>
  <c r="AF3243" i="2"/>
  <c r="AK3243" i="2"/>
  <c r="AG3243" i="2"/>
  <c r="AL3243" i="2" s="1"/>
  <c r="AH3243" i="2"/>
  <c r="AI3243" i="2"/>
  <c r="AJ3243" i="2"/>
  <c r="AF3244" i="2"/>
  <c r="AK3244" i="2"/>
  <c r="AG3244" i="2"/>
  <c r="AH3244" i="2"/>
  <c r="AI3244" i="2"/>
  <c r="AJ3244" i="2"/>
  <c r="AL3244" i="2" s="1"/>
  <c r="AF3245" i="2"/>
  <c r="AK3245" i="2" s="1"/>
  <c r="AL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J3255" i="2"/>
  <c r="AL3255" i="2" s="1"/>
  <c r="AF3256" i="2"/>
  <c r="AK3256" i="2" s="1"/>
  <c r="AL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L3266" i="2" s="1"/>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L3285" i="2" s="1"/>
  <c r="AI3285" i="2"/>
  <c r="AJ3285" i="2"/>
  <c r="AF3286" i="2"/>
  <c r="AK3286" i="2" s="1"/>
  <c r="AG3286" i="2"/>
  <c r="AH3286" i="2"/>
  <c r="AI3286" i="2"/>
  <c r="AJ3286" i="2"/>
  <c r="AF3287" i="2"/>
  <c r="AK3287" i="2"/>
  <c r="AL3287" i="2" s="1"/>
  <c r="AG3287" i="2"/>
  <c r="AH3287" i="2"/>
  <c r="AI3287" i="2"/>
  <c r="AJ3287" i="2"/>
  <c r="AF3288" i="2"/>
  <c r="AK3288" i="2"/>
  <c r="AG3288" i="2"/>
  <c r="AH3288" i="2"/>
  <c r="AI3288" i="2"/>
  <c r="AJ3288" i="2"/>
  <c r="AL3288" i="2" s="1"/>
  <c r="AF3289" i="2"/>
  <c r="AK3289" i="2" s="1"/>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L3306" i="2" s="1"/>
  <c r="AI3306" i="2"/>
  <c r="AJ3306" i="2"/>
  <c r="AF3307" i="2"/>
  <c r="AK3307" i="2" s="1"/>
  <c r="AG3307" i="2"/>
  <c r="AL3307" i="2" s="1"/>
  <c r="AH3307" i="2"/>
  <c r="AI3307" i="2"/>
  <c r="AJ3307" i="2"/>
  <c r="AF3308" i="2"/>
  <c r="AK3308" i="2"/>
  <c r="AG3308" i="2"/>
  <c r="AH3308" i="2"/>
  <c r="AI3308" i="2"/>
  <c r="AJ3308" i="2"/>
  <c r="AF3309" i="2"/>
  <c r="AK3309" i="2" s="1"/>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c r="AG3328" i="2"/>
  <c r="AH3328" i="2"/>
  <c r="AI3328" i="2"/>
  <c r="AL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L3353" i="2" s="1"/>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c r="AG3439" i="2"/>
  <c r="AH3439" i="2"/>
  <c r="AL3439" i="2" s="1"/>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H3443" i="2"/>
  <c r="AI3443" i="2"/>
  <c r="AJ3443" i="2"/>
  <c r="AL3443" i="2" s="1"/>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L3465" i="2" s="1"/>
  <c r="AH3465" i="2"/>
  <c r="AI3465" i="2"/>
  <c r="AJ3465" i="2"/>
  <c r="AF3466" i="2"/>
  <c r="AK3466" i="2"/>
  <c r="AG3466" i="2"/>
  <c r="AH3466" i="2"/>
  <c r="AI3466" i="2"/>
  <c r="AJ3466" i="2"/>
  <c r="AF3467" i="2"/>
  <c r="AK3467" i="2" s="1"/>
  <c r="AG3467" i="2"/>
  <c r="AH3467" i="2"/>
  <c r="AI3467" i="2"/>
  <c r="AL3467" i="2" s="1"/>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L3480" i="2" s="1"/>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c r="AG3491" i="2"/>
  <c r="AH3491" i="2"/>
  <c r="AI3491" i="2"/>
  <c r="AJ3491" i="2"/>
  <c r="AF3492" i="2"/>
  <c r="AK3492" i="2"/>
  <c r="AG3492" i="2"/>
  <c r="AH3492" i="2"/>
  <c r="AI3492" i="2"/>
  <c r="AJ3492" i="2"/>
  <c r="AL3492" i="2" s="1"/>
  <c r="AF3493" i="2"/>
  <c r="AK3493" i="2" s="1"/>
  <c r="AG3493" i="2"/>
  <c r="AH3493" i="2"/>
  <c r="AI3493" i="2"/>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s="1"/>
  <c r="AG3497" i="2"/>
  <c r="AH3497" i="2"/>
  <c r="AL3497" i="2"/>
  <c r="AI3497" i="2"/>
  <c r="AJ3497" i="2"/>
  <c r="AF3498" i="2"/>
  <c r="AK3498" i="2"/>
  <c r="AG3498" i="2"/>
  <c r="AH3498" i="2"/>
  <c r="AI3498" i="2"/>
  <c r="AJ3498" i="2"/>
  <c r="AF3499" i="2"/>
  <c r="AK3499" i="2" s="1"/>
  <c r="AG3499" i="2"/>
  <c r="AL3499" i="2" s="1"/>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L3505" i="2" s="1"/>
  <c r="AI3505" i="2"/>
  <c r="AJ3505" i="2"/>
  <c r="AF3506" i="2"/>
  <c r="AK3506" i="2"/>
  <c r="AG3506" i="2"/>
  <c r="AL3506" i="2" s="1"/>
  <c r="AH3506" i="2"/>
  <c r="AI3506" i="2"/>
  <c r="AJ3506" i="2"/>
  <c r="AF3507" i="2"/>
  <c r="AK3507" i="2"/>
  <c r="AL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L3531" i="2"/>
  <c r="AG3531" i="2"/>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s="1"/>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c r="AL3598" i="2" s="1"/>
  <c r="AG3598" i="2"/>
  <c r="AH3598" i="2"/>
  <c r="AI3598" i="2"/>
  <c r="AJ3598" i="2"/>
  <c r="AF3599" i="2"/>
  <c r="AK3599" i="2"/>
  <c r="AG3599" i="2"/>
  <c r="AH3599" i="2"/>
  <c r="AI3599" i="2"/>
  <c r="AJ3599" i="2"/>
  <c r="AL3599" i="2" s="1"/>
  <c r="AF3600" i="2"/>
  <c r="AK3600" i="2" s="1"/>
  <c r="AG3600" i="2"/>
  <c r="AH3600" i="2"/>
  <c r="AI3600" i="2"/>
  <c r="AJ3600" i="2"/>
  <c r="AF3601" i="2"/>
  <c r="AK3601" i="2"/>
  <c r="AG3601" i="2"/>
  <c r="AH3601" i="2"/>
  <c r="AI3601" i="2"/>
  <c r="AL3601" i="2" s="1"/>
  <c r="AJ3601" i="2"/>
  <c r="AF3602" i="2"/>
  <c r="AK3602" i="2"/>
  <c r="AG3602" i="2"/>
  <c r="AH3602" i="2"/>
  <c r="AI3602" i="2"/>
  <c r="AJ3602" i="2"/>
  <c r="AF3603" i="2"/>
  <c r="AK3603" i="2"/>
  <c r="AG3603" i="2"/>
  <c r="AL3603" i="2" s="1"/>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c r="AG3611" i="2"/>
  <c r="AL3611" i="2" s="1"/>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L3622" i="2" s="1"/>
  <c r="AI3622" i="2"/>
  <c r="AJ3622" i="2"/>
  <c r="AF3623" i="2"/>
  <c r="AK3623" i="2"/>
  <c r="AG3623" i="2"/>
  <c r="AH3623" i="2"/>
  <c r="AI3623" i="2"/>
  <c r="AJ3623" i="2"/>
  <c r="AF3624" i="2"/>
  <c r="AK3624" i="2"/>
  <c r="AL3624" i="2" s="1"/>
  <c r="AG3624" i="2"/>
  <c r="AH3624" i="2"/>
  <c r="AI3624" i="2"/>
  <c r="AJ3624" i="2"/>
  <c r="AF3625" i="2"/>
  <c r="AK3625" i="2"/>
  <c r="AG3625" i="2"/>
  <c r="AH3625" i="2"/>
  <c r="AI3625" i="2"/>
  <c r="AJ3625" i="2"/>
  <c r="AL3625" i="2" s="1"/>
  <c r="AF3626" i="2"/>
  <c r="AK3626" i="2" s="1"/>
  <c r="AG3626" i="2"/>
  <c r="AH3626" i="2"/>
  <c r="AI3626" i="2"/>
  <c r="AJ3626" i="2"/>
  <c r="AF3627" i="2"/>
  <c r="AK3627" i="2"/>
  <c r="AG3627" i="2"/>
  <c r="AH3627" i="2"/>
  <c r="AL3627" i="2" s="1"/>
  <c r="AI3627" i="2"/>
  <c r="AJ3627" i="2"/>
  <c r="AF3628" i="2"/>
  <c r="AK3628" i="2"/>
  <c r="AG3628" i="2"/>
  <c r="AH3628" i="2"/>
  <c r="AL3628" i="2" s="1"/>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L3660" i="2" s="1"/>
  <c r="AI3660" i="2"/>
  <c r="AJ3660" i="2"/>
  <c r="AF3661" i="2"/>
  <c r="AK3661" i="2"/>
  <c r="AG3661" i="2"/>
  <c r="AH3661" i="2"/>
  <c r="AI3661" i="2"/>
  <c r="AJ3661" i="2"/>
  <c r="AF3662" i="2"/>
  <c r="AK3662" i="2"/>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L3665" i="2" s="1"/>
  <c r="AI3665" i="2"/>
  <c r="AJ3665" i="2"/>
  <c r="AF3666" i="2"/>
  <c r="AK3666" i="2"/>
  <c r="AG3666" i="2"/>
  <c r="AH3666" i="2"/>
  <c r="AI3666" i="2"/>
  <c r="AJ3666" i="2"/>
  <c r="AF3667" i="2"/>
  <c r="AK3667" i="2"/>
  <c r="AG3667" i="2"/>
  <c r="AL3667" i="2" s="1"/>
  <c r="AH3667" i="2"/>
  <c r="AI3667" i="2"/>
  <c r="AJ3667" i="2"/>
  <c r="AF3668" i="2"/>
  <c r="AK3668" i="2"/>
  <c r="AG3668" i="2"/>
  <c r="AH3668" i="2"/>
  <c r="AI3668" i="2"/>
  <c r="AJ3668" i="2"/>
  <c r="AL3668" i="2" s="1"/>
  <c r="AF3669" i="2"/>
  <c r="AK3669" i="2" s="1"/>
  <c r="AL3669" i="2" s="1"/>
  <c r="AG3669" i="2"/>
  <c r="AH3669" i="2"/>
  <c r="AI3669" i="2"/>
  <c r="AJ3669" i="2"/>
  <c r="AF3670" i="2"/>
  <c r="AK3670" i="2"/>
  <c r="AG3670" i="2"/>
  <c r="AH3670" i="2"/>
  <c r="AI3670" i="2"/>
  <c r="AL3670" i="2" s="1"/>
  <c r="AJ3670" i="2"/>
  <c r="AF3671" i="2"/>
  <c r="AK3671" i="2"/>
  <c r="AG3671" i="2"/>
  <c r="AH3671" i="2"/>
  <c r="AI3671" i="2"/>
  <c r="AJ3671" i="2"/>
  <c r="AF3672" i="2"/>
  <c r="AK3672" i="2"/>
  <c r="AL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L3686" i="2" s="1"/>
  <c r="AJ3686" i="2"/>
  <c r="AF3687" i="2"/>
  <c r="AK3687" i="2" s="1"/>
  <c r="AG3687" i="2"/>
  <c r="AH3687" i="2"/>
  <c r="AI3687" i="2"/>
  <c r="AJ3687" i="2"/>
  <c r="AF3688" i="2"/>
  <c r="AK3688" i="2"/>
  <c r="AG3688" i="2"/>
  <c r="AL3688" i="2" s="1"/>
  <c r="AH3688" i="2"/>
  <c r="AI3688" i="2"/>
  <c r="AJ3688" i="2"/>
  <c r="AF3689" i="2"/>
  <c r="AK3689" i="2"/>
  <c r="AG3689" i="2"/>
  <c r="AH3689" i="2"/>
  <c r="AI3689" i="2"/>
  <c r="AJ3689" i="2"/>
  <c r="AF3690" i="2"/>
  <c r="AK3690" i="2"/>
  <c r="AL3690" i="2" s="1"/>
  <c r="AG3690" i="2"/>
  <c r="AH3690" i="2"/>
  <c r="AI3690" i="2"/>
  <c r="AJ3690" i="2"/>
  <c r="AF3691" i="2"/>
  <c r="AK3691" i="2" s="1"/>
  <c r="AG3691" i="2"/>
  <c r="AH3691" i="2"/>
  <c r="AI3691" i="2"/>
  <c r="AJ3691" i="2"/>
  <c r="AL3691" i="2" s="1"/>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L3728" i="2" s="1"/>
  <c r="AJ3728" i="2"/>
  <c r="AF3729" i="2"/>
  <c r="AK3729" i="2" s="1"/>
  <c r="AG3729" i="2"/>
  <c r="AH3729" i="2"/>
  <c r="AI3729" i="2"/>
  <c r="AJ3729" i="2"/>
  <c r="AF3730" i="2"/>
  <c r="AK3730" i="2" s="1"/>
  <c r="AG3730" i="2"/>
  <c r="AL3730" i="2" s="1"/>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L3741" i="2" s="1"/>
  <c r="AG3741" i="2"/>
  <c r="AH3741" i="2"/>
  <c r="AI3741" i="2"/>
  <c r="AJ3741" i="2"/>
  <c r="AF3742" i="2"/>
  <c r="AK3742" i="2"/>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L3758" i="2" s="1"/>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L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L3856" i="2" s="1"/>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L3884" i="2" s="1"/>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L3890" i="2" s="1"/>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L3915" i="2" s="1"/>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I3925" i="2"/>
  <c r="AJ3925" i="2"/>
  <c r="AF3926" i="2"/>
  <c r="AK3926" i="2"/>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H3947" i="2"/>
  <c r="AI3947" i="2"/>
  <c r="AJ3947" i="2"/>
  <c r="AF3948" i="2"/>
  <c r="AK3948" i="2"/>
  <c r="AG3948" i="2"/>
  <c r="AH3948" i="2"/>
  <c r="AL3948" i="2" s="1"/>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c r="AG3952" i="2"/>
  <c r="AH3952" i="2"/>
  <c r="AI3952" i="2"/>
  <c r="AJ3952" i="2"/>
  <c r="AF3953" i="2"/>
  <c r="AK3953" i="2"/>
  <c r="AL3953" i="2"/>
  <c r="AG3953" i="2"/>
  <c r="AH3953" i="2"/>
  <c r="AI3953" i="2"/>
  <c r="AJ3953" i="2"/>
  <c r="AF3954" i="2"/>
  <c r="AK3954" i="2"/>
  <c r="AG3954" i="2"/>
  <c r="AH3954" i="2"/>
  <c r="AI3954" i="2"/>
  <c r="AJ3954" i="2"/>
  <c r="AF3955" i="2"/>
  <c r="AK3955" i="2" s="1"/>
  <c r="AL3955" i="2"/>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L3963" i="2" s="1"/>
  <c r="AI3963" i="2"/>
  <c r="AJ3963" i="2"/>
  <c r="AF3964" i="2"/>
  <c r="AK3964" i="2" s="1"/>
  <c r="AG3964" i="2"/>
  <c r="AH3964" i="2"/>
  <c r="AI3964" i="2"/>
  <c r="AJ3964" i="2"/>
  <c r="AF3965" i="2"/>
  <c r="AK3965" i="2"/>
  <c r="AG3965" i="2"/>
  <c r="AL3965" i="2" s="1"/>
  <c r="AH3965" i="2"/>
  <c r="AI3965" i="2"/>
  <c r="AJ3965" i="2"/>
  <c r="AF3966" i="2"/>
  <c r="AK3966" i="2"/>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L3974" i="2" s="1"/>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L3980" i="2" s="1"/>
  <c r="AG3980" i="2"/>
  <c r="AH3980" i="2"/>
  <c r="AI3980" i="2"/>
  <c r="AJ3980" i="2"/>
  <c r="AF3981" i="2"/>
  <c r="AK3981" i="2" s="1"/>
  <c r="AG3981" i="2"/>
  <c r="AH3981" i="2"/>
  <c r="AI3981" i="2"/>
  <c r="AJ3981" i="2"/>
  <c r="AF3982" i="2"/>
  <c r="AK3982" i="2" s="1"/>
  <c r="AL3982" i="2" s="1"/>
  <c r="AG3982" i="2"/>
  <c r="AH3982" i="2"/>
  <c r="AI3982" i="2"/>
  <c r="AJ3982" i="2"/>
  <c r="AF3983" i="2"/>
  <c r="AK3983" i="2"/>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L3987" i="2" s="1"/>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c r="AL3993" i="2" s="1"/>
  <c r="AG3993" i="2"/>
  <c r="AH3993" i="2"/>
  <c r="AI3993" i="2"/>
  <c r="AJ3993" i="2"/>
  <c r="AF3994" i="2"/>
  <c r="AK3994" i="2" s="1"/>
  <c r="AL3994" i="2" s="1"/>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c r="AG4012" i="2"/>
  <c r="AH4012" i="2"/>
  <c r="AL4012" i="2" s="1"/>
  <c r="AI4012" i="2"/>
  <c r="AJ4012" i="2"/>
  <c r="AF4013" i="2"/>
  <c r="AK4013" i="2" s="1"/>
  <c r="AG4013" i="2"/>
  <c r="AH4013" i="2"/>
  <c r="AI4013" i="2"/>
  <c r="AJ4013" i="2"/>
  <c r="AF4014" i="2"/>
  <c r="AK4014" i="2" s="1"/>
  <c r="AL4014" i="2" s="1"/>
  <c r="AG4014" i="2"/>
  <c r="AH4014" i="2"/>
  <c r="AI4014" i="2"/>
  <c r="AJ4014" i="2"/>
  <c r="AF4015" i="2"/>
  <c r="AK4015" i="2" s="1"/>
  <c r="AG4015" i="2"/>
  <c r="AH4015" i="2"/>
  <c r="AI4015" i="2"/>
  <c r="AJ4015" i="2"/>
  <c r="AF4016" i="2"/>
  <c r="AK4016" i="2"/>
  <c r="AG4016" i="2"/>
  <c r="AL4016" i="2" s="1"/>
  <c r="AH4016" i="2"/>
  <c r="AI4016" i="2"/>
  <c r="AJ4016" i="2"/>
  <c r="AF4017" i="2"/>
  <c r="AK4017" i="2"/>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L4030" i="2" s="1"/>
  <c r="AJ4030" i="2"/>
  <c r="AF4031" i="2"/>
  <c r="AK4031" i="2"/>
  <c r="AG4031" i="2"/>
  <c r="AH4031" i="2"/>
  <c r="AI4031" i="2"/>
  <c r="AJ4031" i="2"/>
  <c r="AF4032" i="2"/>
  <c r="AK4032" i="2"/>
  <c r="AG4032" i="2"/>
  <c r="AL4032" i="2" s="1"/>
  <c r="AH4032" i="2"/>
  <c r="AI4032" i="2"/>
  <c r="AJ4032" i="2"/>
  <c r="AF4033" i="2"/>
  <c r="AK4033" i="2" s="1"/>
  <c r="AG4033" i="2"/>
  <c r="AH4033" i="2"/>
  <c r="AI4033" i="2"/>
  <c r="AJ4033" i="2"/>
  <c r="AF4034" i="2"/>
  <c r="AK4034" i="2"/>
  <c r="AL4034" i="2" s="1"/>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s="1"/>
  <c r="AL4039" i="2" s="1"/>
  <c r="AG4039" i="2"/>
  <c r="AH4039" i="2"/>
  <c r="AI4039" i="2"/>
  <c r="AJ4039" i="2"/>
  <c r="AF4040" i="2"/>
  <c r="AK4040" i="2" s="1"/>
  <c r="AG4040" i="2"/>
  <c r="AH4040" i="2"/>
  <c r="AI4040" i="2"/>
  <c r="AJ4040" i="2"/>
  <c r="AF4041" i="2"/>
  <c r="AK4041" i="2"/>
  <c r="AG4041" i="2"/>
  <c r="AL4041" i="2" s="1"/>
  <c r="AH4041" i="2"/>
  <c r="AI4041" i="2"/>
  <c r="AJ4041" i="2"/>
  <c r="AF4042" i="2"/>
  <c r="AK4042" i="2"/>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L4051" i="2" s="1"/>
  <c r="AG4051" i="2"/>
  <c r="AH4051" i="2"/>
  <c r="AI4051" i="2"/>
  <c r="AJ4051" i="2"/>
  <c r="AF4052" i="2"/>
  <c r="AK4052" i="2" s="1"/>
  <c r="AG4052" i="2"/>
  <c r="AH4052" i="2"/>
  <c r="AI4052" i="2"/>
  <c r="AL4052" i="2" s="1"/>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L4077" i="2" s="1"/>
  <c r="AG4077" i="2"/>
  <c r="AH4077" i="2"/>
  <c r="AI4077" i="2"/>
  <c r="AJ4077" i="2"/>
  <c r="AF4078" i="2"/>
  <c r="AK4078" i="2"/>
  <c r="AG4078" i="2"/>
  <c r="AH4078" i="2"/>
  <c r="AI4078" i="2"/>
  <c r="AJ4078" i="2"/>
  <c r="AF4079" i="2"/>
  <c r="AK4079" i="2"/>
  <c r="AG4079" i="2"/>
  <c r="AH4079" i="2"/>
  <c r="AI4079" i="2"/>
  <c r="AJ4079" i="2"/>
  <c r="AF4080" i="2"/>
  <c r="AK4080" i="2" s="1"/>
  <c r="AG4080" i="2"/>
  <c r="AH4080" i="2"/>
  <c r="AL4080" i="2" s="1"/>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s="1"/>
  <c r="AL4095" i="2" s="1"/>
  <c r="AG4095" i="2"/>
  <c r="AH4095" i="2"/>
  <c r="AI4095" i="2"/>
  <c r="AJ4095" i="2"/>
  <c r="AF4096" i="2"/>
  <c r="AK4096" i="2"/>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s="1"/>
  <c r="AG4102" i="2"/>
  <c r="AH4102" i="2"/>
  <c r="AI4102" i="2"/>
  <c r="AJ4102" i="2"/>
  <c r="AF4103" i="2"/>
  <c r="AK4103" i="2"/>
  <c r="AL4103" i="2" s="1"/>
  <c r="AG4103" i="2"/>
  <c r="AH4103" i="2"/>
  <c r="AI4103" i="2"/>
  <c r="AJ4103" i="2"/>
  <c r="AF4104" i="2"/>
  <c r="AK4104" i="2"/>
  <c r="AG4104" i="2"/>
  <c r="AH4104" i="2"/>
  <c r="AI4104" i="2"/>
  <c r="AJ4104" i="2"/>
  <c r="AL4104" i="2" s="1"/>
  <c r="AF4105" i="2"/>
  <c r="AK4105" i="2"/>
  <c r="AG4105" i="2"/>
  <c r="AH4105" i="2"/>
  <c r="AI4105" i="2"/>
  <c r="AJ4105" i="2"/>
  <c r="AF4106" i="2"/>
  <c r="AK4106" i="2" s="1"/>
  <c r="AG4106" i="2"/>
  <c r="AH4106" i="2"/>
  <c r="AI4106" i="2"/>
  <c r="AL4106" i="2" s="1"/>
  <c r="AJ4106" i="2"/>
  <c r="AF4107" i="2"/>
  <c r="AK4107" i="2"/>
  <c r="AG4107" i="2"/>
  <c r="AH4107" i="2"/>
  <c r="AI4107" i="2"/>
  <c r="AJ4107" i="2"/>
  <c r="AF4108" i="2"/>
  <c r="AK4108" i="2"/>
  <c r="AG4108" i="2"/>
  <c r="AL4108" i="2" s="1"/>
  <c r="AH4108" i="2"/>
  <c r="AI4108" i="2"/>
  <c r="AJ4108" i="2"/>
  <c r="AF4109" i="2"/>
  <c r="AK4109" i="2" s="1"/>
  <c r="AG4109" i="2"/>
  <c r="AH4109" i="2"/>
  <c r="AI4109" i="2"/>
  <c r="AJ4109" i="2"/>
  <c r="AF4110" i="2"/>
  <c r="AK4110" i="2" s="1"/>
  <c r="AG4110" i="2"/>
  <c r="AH4110" i="2"/>
  <c r="AI4110" i="2"/>
  <c r="AJ4110" i="2"/>
  <c r="AF4111" i="2"/>
  <c r="AK4111" i="2" s="1"/>
  <c r="AL4111" i="2"/>
  <c r="AG4111" i="2"/>
  <c r="AH4111" i="2"/>
  <c r="AI4111" i="2"/>
  <c r="AJ4111" i="2"/>
  <c r="AF4112" i="2"/>
  <c r="AK4112" i="2"/>
  <c r="AG4112" i="2"/>
  <c r="AH4112" i="2"/>
  <c r="AI4112" i="2"/>
  <c r="AJ4112" i="2"/>
  <c r="AF4113" i="2"/>
  <c r="AK4113" i="2" s="1"/>
  <c r="AL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c r="AG4118" i="2"/>
  <c r="AH4118" i="2"/>
  <c r="AI4118" i="2"/>
  <c r="AJ4118" i="2"/>
  <c r="AF4119" i="2"/>
  <c r="AK4119" i="2" s="1"/>
  <c r="AL4119" i="2" s="1"/>
  <c r="AG4119" i="2"/>
  <c r="AH4119" i="2"/>
  <c r="AI4119" i="2"/>
  <c r="AJ4119" i="2"/>
  <c r="AF4120" i="2"/>
  <c r="AK4120" i="2" s="1"/>
  <c r="AG4120" i="2"/>
  <c r="AH4120" i="2"/>
  <c r="AI4120" i="2"/>
  <c r="AJ4120" i="2"/>
  <c r="AF4121" i="2"/>
  <c r="AK4121" i="2" s="1"/>
  <c r="AG4121" i="2"/>
  <c r="AH4121" i="2"/>
  <c r="AI4121" i="2"/>
  <c r="AJ4121" i="2"/>
  <c r="AF4122" i="2"/>
  <c r="AK4122" i="2" s="1"/>
  <c r="AG4122" i="2"/>
  <c r="AL4122" i="2" s="1"/>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L4125" i="2" s="1"/>
  <c r="AF4126" i="2"/>
  <c r="AK4126" i="2" s="1"/>
  <c r="AG4126" i="2"/>
  <c r="AH4126" i="2"/>
  <c r="AI4126" i="2"/>
  <c r="AJ4126" i="2"/>
  <c r="AF4127" i="2"/>
  <c r="AK4127" i="2" s="1"/>
  <c r="AG4127" i="2"/>
  <c r="AH4127" i="2"/>
  <c r="AI4127" i="2"/>
  <c r="AJ4127" i="2"/>
  <c r="AF4128" i="2"/>
  <c r="AK4128" i="2"/>
  <c r="AG4128" i="2"/>
  <c r="AH4128" i="2"/>
  <c r="AI4128" i="2"/>
  <c r="AJ4128" i="2"/>
  <c r="AF4129" i="2"/>
  <c r="AK4129" i="2" s="1"/>
  <c r="AL4129" i="2" s="1"/>
  <c r="AG4129" i="2"/>
  <c r="AH4129" i="2"/>
  <c r="AI4129" i="2"/>
  <c r="AJ4129" i="2"/>
  <c r="AF4130" i="2"/>
  <c r="AK4130" i="2" s="1"/>
  <c r="AG4130" i="2"/>
  <c r="AH4130" i="2"/>
  <c r="AI4130" i="2"/>
  <c r="AJ4130" i="2"/>
  <c r="AF4131" i="2"/>
  <c r="AK4131" i="2"/>
  <c r="AG4131" i="2"/>
  <c r="AL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L4136" i="2" s="1"/>
  <c r="AI4136" i="2"/>
  <c r="AJ4136" i="2"/>
  <c r="AF4137" i="2"/>
  <c r="AK4137" i="2"/>
  <c r="AG4137" i="2"/>
  <c r="AH4137" i="2"/>
  <c r="AI4137" i="2"/>
  <c r="AJ4137" i="2"/>
  <c r="AF4138" i="2"/>
  <c r="AK4138" i="2"/>
  <c r="AG4138" i="2"/>
  <c r="AH4138" i="2"/>
  <c r="AI4138" i="2"/>
  <c r="AJ4138" i="2"/>
  <c r="AF4139" i="2"/>
  <c r="AK4139" i="2" s="1"/>
  <c r="AG4139" i="2"/>
  <c r="AH4139" i="2"/>
  <c r="AI4139" i="2"/>
  <c r="AJ4139" i="2"/>
  <c r="AF4140" i="2"/>
  <c r="AK4140" i="2" s="1"/>
  <c r="AL4140" i="2" s="1"/>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s="1"/>
  <c r="AG4146" i="2"/>
  <c r="AH4146" i="2"/>
  <c r="AI4146" i="2"/>
  <c r="AJ4146" i="2"/>
  <c r="AF4147" i="2"/>
  <c r="AK4147" i="2" s="1"/>
  <c r="AG4147" i="2"/>
  <c r="AH4147" i="2"/>
  <c r="AL4147" i="2" s="1"/>
  <c r="AI4147" i="2"/>
  <c r="AJ4147" i="2"/>
  <c r="AF4148" i="2"/>
  <c r="AK4148" i="2"/>
  <c r="AG4148" i="2"/>
  <c r="AH4148" i="2"/>
  <c r="AI4148" i="2"/>
  <c r="AJ4148" i="2"/>
  <c r="AF4149" i="2"/>
  <c r="AK4149" i="2"/>
  <c r="AL4149" i="2" s="1"/>
  <c r="AG4149" i="2"/>
  <c r="AH4149" i="2"/>
  <c r="AI4149" i="2"/>
  <c r="AJ4149" i="2"/>
  <c r="AF4150" i="2"/>
  <c r="AK4150" i="2" s="1"/>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L4161" i="2" s="1"/>
  <c r="AJ4161" i="2"/>
  <c r="AF4162" i="2"/>
  <c r="AK4162" i="2"/>
  <c r="AG4162" i="2"/>
  <c r="AH4162" i="2"/>
  <c r="AL4162" i="2" s="1"/>
  <c r="AI4162" i="2"/>
  <c r="AJ4162" i="2"/>
  <c r="AF4163" i="2"/>
  <c r="AK4163" i="2"/>
  <c r="AL4163" i="2" s="1"/>
  <c r="AG4163" i="2"/>
  <c r="AH4163" i="2"/>
  <c r="AI4163" i="2"/>
  <c r="AJ4163" i="2"/>
  <c r="AF4164" i="2"/>
  <c r="AK4164" i="2" s="1"/>
  <c r="AG4164" i="2"/>
  <c r="AH4164" i="2"/>
  <c r="AI4164" i="2"/>
  <c r="AJ4164" i="2"/>
  <c r="AL4164" i="2" s="1"/>
  <c r="AF4165" i="2"/>
  <c r="AK4165" i="2" s="1"/>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s="1"/>
  <c r="AG4172" i="2"/>
  <c r="AL4172" i="2" s="1"/>
  <c r="AH4172" i="2"/>
  <c r="AI4172" i="2"/>
  <c r="AJ4172" i="2"/>
  <c r="AF4173" i="2"/>
  <c r="AK4173" i="2"/>
  <c r="AG4173" i="2"/>
  <c r="AH4173" i="2"/>
  <c r="AI4173" i="2"/>
  <c r="AJ4173" i="2"/>
  <c r="AF4174" i="2"/>
  <c r="AK4174" i="2" s="1"/>
  <c r="AL4174" i="2" s="1"/>
  <c r="AG4174" i="2"/>
  <c r="AH4174" i="2"/>
  <c r="AI4174" i="2"/>
  <c r="AJ4174" i="2"/>
  <c r="AF4175" i="2"/>
  <c r="AK4175" i="2"/>
  <c r="AG4175" i="2"/>
  <c r="AH4175" i="2"/>
  <c r="AI4175" i="2"/>
  <c r="AL4175" i="2" s="1"/>
  <c r="AJ4175" i="2"/>
  <c r="AF4176" i="2"/>
  <c r="AK4176" i="2" s="1"/>
  <c r="AG4176" i="2"/>
  <c r="AH4176" i="2"/>
  <c r="AI4176" i="2"/>
  <c r="AJ4176" i="2"/>
  <c r="AF4177" i="2"/>
  <c r="AK4177" i="2" s="1"/>
  <c r="AG4177" i="2"/>
  <c r="AH4177" i="2"/>
  <c r="AI4177" i="2"/>
  <c r="AJ4177" i="2"/>
  <c r="AF4178" i="2"/>
  <c r="AK4178" i="2" s="1"/>
  <c r="AL4178" i="2" s="1"/>
  <c r="AG4178" i="2"/>
  <c r="AH4178" i="2"/>
  <c r="AI4178" i="2"/>
  <c r="AJ4178" i="2"/>
  <c r="AF4179" i="2"/>
  <c r="AK4179" i="2"/>
  <c r="AG4179" i="2"/>
  <c r="AL4179" i="2" s="1"/>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L4186" i="2" s="1"/>
  <c r="AG4186" i="2"/>
  <c r="AH4186" i="2"/>
  <c r="AI4186" i="2"/>
  <c r="AJ4186" i="2"/>
  <c r="AF4187" i="2"/>
  <c r="AK4187" i="2"/>
  <c r="AG4187" i="2"/>
  <c r="AH4187" i="2"/>
  <c r="AI4187" i="2"/>
  <c r="AL4187" i="2" s="1"/>
  <c r="AJ4187" i="2"/>
  <c r="AF4188" i="2"/>
  <c r="AK4188" i="2"/>
  <c r="AG4188" i="2"/>
  <c r="AH4188" i="2"/>
  <c r="AI4188" i="2"/>
  <c r="AJ4188" i="2"/>
  <c r="AF4189" i="2"/>
  <c r="AK4189" i="2"/>
  <c r="AG4189" i="2"/>
  <c r="AL4189" i="2" s="1"/>
  <c r="AH4189" i="2"/>
  <c r="AI4189" i="2"/>
  <c r="AJ4189" i="2"/>
  <c r="AF4190" i="2"/>
  <c r="AK4190" i="2" s="1"/>
  <c r="AG4190" i="2"/>
  <c r="AL4190" i="2" s="1"/>
  <c r="AH4190" i="2"/>
  <c r="AI4190" i="2"/>
  <c r="AJ4190" i="2"/>
  <c r="AF4191" i="2"/>
  <c r="AK4191" i="2" s="1"/>
  <c r="AG4191" i="2"/>
  <c r="AH4191" i="2"/>
  <c r="AI4191" i="2"/>
  <c r="AJ4191" i="2"/>
  <c r="AF4192" i="2"/>
  <c r="AK4192" i="2"/>
  <c r="AG4192" i="2"/>
  <c r="AH4192" i="2"/>
  <c r="AI4192" i="2"/>
  <c r="AJ4192" i="2"/>
  <c r="AF4193" i="2"/>
  <c r="AK4193" i="2" s="1"/>
  <c r="AL4193" i="2" s="1"/>
  <c r="AG4193" i="2"/>
  <c r="AH4193" i="2"/>
  <c r="AI4193" i="2"/>
  <c r="AJ4193" i="2"/>
  <c r="AF4194" i="2"/>
  <c r="AK4194" i="2" s="1"/>
  <c r="AG4194" i="2"/>
  <c r="AH4194" i="2"/>
  <c r="AI4194" i="2"/>
  <c r="AJ4194" i="2"/>
  <c r="AF4195" i="2"/>
  <c r="AK4195" i="2" s="1"/>
  <c r="AG4195" i="2"/>
  <c r="AH4195" i="2"/>
  <c r="AL4195" i="2"/>
  <c r="AI4195" i="2"/>
  <c r="AJ4195" i="2"/>
  <c r="AF4196" i="2"/>
  <c r="AK4196" i="2"/>
  <c r="AG4196" i="2"/>
  <c r="AL4196" i="2" s="1"/>
  <c r="AH4196" i="2"/>
  <c r="AI4196" i="2"/>
  <c r="AJ4196" i="2"/>
  <c r="AF4197" i="2"/>
  <c r="AK4197" i="2"/>
  <c r="AG4197" i="2"/>
  <c r="AH4197" i="2"/>
  <c r="AI4197" i="2"/>
  <c r="AJ4197" i="2"/>
  <c r="AF4198" i="2"/>
  <c r="AK4198" i="2" s="1"/>
  <c r="AL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L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L4213" i="2" s="1"/>
  <c r="AJ4213" i="2"/>
  <c r="AF4214" i="2"/>
  <c r="AK4214" i="2" s="1"/>
  <c r="AL4214" i="2" s="1"/>
  <c r="AG4214" i="2"/>
  <c r="AH4214" i="2"/>
  <c r="AI4214" i="2"/>
  <c r="AJ4214" i="2"/>
  <c r="AF4215" i="2"/>
  <c r="AK4215" i="2"/>
  <c r="AG4215" i="2"/>
  <c r="AH4215" i="2"/>
  <c r="AI4215" i="2"/>
  <c r="AJ4215" i="2"/>
  <c r="AF4216" i="2"/>
  <c r="AK4216" i="2"/>
  <c r="AG4216" i="2"/>
  <c r="AH4216" i="2"/>
  <c r="AI4216" i="2"/>
  <c r="AJ4216" i="2"/>
  <c r="AF4217" i="2"/>
  <c r="AK4217" i="2" s="1"/>
  <c r="AL4217" i="2" s="1"/>
  <c r="AG4217" i="2"/>
  <c r="AH4217" i="2"/>
  <c r="AI4217" i="2"/>
  <c r="AJ4217" i="2"/>
  <c r="AF4218" i="2"/>
  <c r="AK4218" i="2" s="1"/>
  <c r="AG4218" i="2"/>
  <c r="AH4218" i="2"/>
  <c r="AI4218" i="2"/>
  <c r="AJ4218" i="2"/>
  <c r="AL4218" i="2" s="1"/>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c r="AG4224" i="2"/>
  <c r="AH4224" i="2"/>
  <c r="AI4224" i="2"/>
  <c r="AJ4224" i="2"/>
  <c r="AF4225" i="2"/>
  <c r="AK4225" i="2"/>
  <c r="AG4225" i="2"/>
  <c r="AH4225" i="2"/>
  <c r="AI4225" i="2"/>
  <c r="AJ4225" i="2"/>
  <c r="AF4226" i="2"/>
  <c r="AK4226" i="2"/>
  <c r="AG4226" i="2"/>
  <c r="AH4226" i="2"/>
  <c r="AI4226" i="2"/>
  <c r="AJ4226" i="2"/>
  <c r="AF4227" i="2"/>
  <c r="AK4227" i="2"/>
  <c r="AL4227" i="2" s="1"/>
  <c r="AG4227" i="2"/>
  <c r="AH4227" i="2"/>
  <c r="AI4227" i="2"/>
  <c r="AJ4227" i="2"/>
  <c r="AF4228" i="2"/>
  <c r="AK4228" i="2" s="1"/>
  <c r="AG4228" i="2"/>
  <c r="AH4228" i="2"/>
  <c r="AI4228" i="2"/>
  <c r="AJ4228" i="2"/>
  <c r="AF4229" i="2"/>
  <c r="AK4229" i="2" s="1"/>
  <c r="AL4229" i="2" s="1"/>
  <c r="AG4229" i="2"/>
  <c r="AH4229" i="2"/>
  <c r="AI4229" i="2"/>
  <c r="AJ4229" i="2"/>
  <c r="AF4230" i="2"/>
  <c r="AK4230" i="2" s="1"/>
  <c r="AG4230" i="2"/>
  <c r="AH4230" i="2"/>
  <c r="AI4230" i="2"/>
  <c r="AJ4230" i="2"/>
  <c r="AL4230" i="2" s="1"/>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L4236" i="2" s="1"/>
  <c r="AG4236" i="2"/>
  <c r="AH4236" i="2"/>
  <c r="AI4236" i="2"/>
  <c r="AJ4236" i="2"/>
  <c r="AF4237" i="2"/>
  <c r="AK4237" i="2" s="1"/>
  <c r="AG4237" i="2"/>
  <c r="AH4237" i="2"/>
  <c r="AI4237" i="2"/>
  <c r="AJ4237" i="2"/>
  <c r="AL4237" i="2" s="1"/>
  <c r="AF4238" i="2"/>
  <c r="AK4238" i="2"/>
  <c r="AG4238" i="2"/>
  <c r="AH4238" i="2"/>
  <c r="AI4238" i="2"/>
  <c r="AJ4238" i="2"/>
  <c r="AF4239" i="2"/>
  <c r="AK4239" i="2"/>
  <c r="AG4239" i="2"/>
  <c r="AL4239" i="2" s="1"/>
  <c r="AH4239" i="2"/>
  <c r="AI4239" i="2"/>
  <c r="AJ4239" i="2"/>
  <c r="AF4240" i="2"/>
  <c r="AK4240" i="2" s="1"/>
  <c r="AG4240" i="2"/>
  <c r="AH4240" i="2"/>
  <c r="AI4240" i="2"/>
  <c r="AJ4240" i="2"/>
  <c r="AF4241" i="2"/>
  <c r="AK4241" i="2"/>
  <c r="AL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s="1"/>
  <c r="AL4246" i="2" s="1"/>
  <c r="AG4246" i="2"/>
  <c r="AH4246" i="2"/>
  <c r="AI4246" i="2"/>
  <c r="AJ4246" i="2"/>
  <c r="AF4247" i="2"/>
  <c r="AK4247" i="2" s="1"/>
  <c r="AL4247" i="2" s="1"/>
  <c r="AG4247" i="2"/>
  <c r="AH4247" i="2"/>
  <c r="AI4247" i="2"/>
  <c r="AJ4247" i="2"/>
  <c r="AF4248" i="2"/>
  <c r="AK4248" i="2"/>
  <c r="AG4248" i="2"/>
  <c r="AH4248" i="2"/>
  <c r="AI4248" i="2"/>
  <c r="AJ4248" i="2"/>
  <c r="AF4249" i="2"/>
  <c r="AK4249" i="2" s="1"/>
  <c r="AL4249" i="2" s="1"/>
  <c r="AG4249" i="2"/>
  <c r="AH4249" i="2"/>
  <c r="AI4249" i="2"/>
  <c r="AJ4249" i="2"/>
  <c r="AF4250" i="2"/>
  <c r="AK4250" i="2" s="1"/>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s="1"/>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L4258" i="2" s="1"/>
  <c r="AG4258" i="2"/>
  <c r="AH4258" i="2"/>
  <c r="AI4258" i="2"/>
  <c r="AJ4258" i="2"/>
  <c r="AF4259" i="2"/>
  <c r="AK4259" i="2" s="1"/>
  <c r="AG4259" i="2"/>
  <c r="AH4259" i="2"/>
  <c r="AI4259" i="2"/>
  <c r="AJ4259" i="2"/>
  <c r="AF4260" i="2"/>
  <c r="AK4260" i="2" s="1"/>
  <c r="AG4260" i="2"/>
  <c r="AH4260" i="2"/>
  <c r="AI4260" i="2"/>
  <c r="AJ4260" i="2"/>
  <c r="AF4261" i="2"/>
  <c r="AK4261" i="2" s="1"/>
  <c r="AG4261" i="2"/>
  <c r="AH4261" i="2"/>
  <c r="AI4261" i="2"/>
  <c r="AJ4261" i="2"/>
  <c r="AF4262" i="2"/>
  <c r="AK4262" i="2" s="1"/>
  <c r="AL4262" i="2" s="1"/>
  <c r="AG4262" i="2"/>
  <c r="AH4262" i="2"/>
  <c r="AI4262" i="2"/>
  <c r="AJ4262" i="2"/>
  <c r="AF4263" i="2"/>
  <c r="AK4263" i="2"/>
  <c r="AG4263" i="2"/>
  <c r="AH4263" i="2"/>
  <c r="AI4263" i="2"/>
  <c r="AJ4263" i="2"/>
  <c r="AF4264" i="2"/>
  <c r="AK4264" i="2"/>
  <c r="AG4264" i="2"/>
  <c r="AH4264" i="2"/>
  <c r="AI4264" i="2"/>
  <c r="AJ4264" i="2"/>
  <c r="AF4265" i="2"/>
  <c r="AK4265" i="2"/>
  <c r="AG4265" i="2"/>
  <c r="AH4265" i="2"/>
  <c r="AI4265" i="2"/>
  <c r="AL4265" i="2" s="1"/>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L4269" i="2" s="1"/>
  <c r="AH4269" i="2"/>
  <c r="AI4269" i="2"/>
  <c r="AJ4269" i="2"/>
  <c r="AF4270" i="2"/>
  <c r="AK4270" i="2" s="1"/>
  <c r="AG4270" i="2"/>
  <c r="AL4270" i="2" s="1"/>
  <c r="AH4270" i="2"/>
  <c r="AI4270" i="2"/>
  <c r="AJ4270" i="2"/>
  <c r="AF4271" i="2"/>
  <c r="AK4271" i="2" s="1"/>
  <c r="AG4271" i="2"/>
  <c r="AH4271" i="2"/>
  <c r="AI4271" i="2"/>
  <c r="AJ4271" i="2"/>
  <c r="AL4271" i="2" s="1"/>
  <c r="AF4272" i="2"/>
  <c r="AK4272" i="2"/>
  <c r="AG4272" i="2"/>
  <c r="AH4272" i="2"/>
  <c r="AI4272" i="2"/>
  <c r="AJ4272" i="2"/>
  <c r="AF4273" i="2"/>
  <c r="AK4273" i="2" s="1"/>
  <c r="AG4273" i="2"/>
  <c r="AH4273" i="2"/>
  <c r="AL4273" i="2" s="1"/>
  <c r="AI4273" i="2"/>
  <c r="AJ4273" i="2"/>
  <c r="AF4274" i="2"/>
  <c r="AK4274" i="2" s="1"/>
  <c r="AG4274" i="2"/>
  <c r="AH4274" i="2"/>
  <c r="AI4274" i="2"/>
  <c r="AJ4274" i="2"/>
  <c r="AF4275" i="2"/>
  <c r="AK4275" i="2"/>
  <c r="AG4275" i="2"/>
  <c r="AL4275" i="2" s="1"/>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c r="AG4294" i="2"/>
  <c r="AH4294" i="2"/>
  <c r="AL4294" i="2" s="1"/>
  <c r="AI4294" i="2"/>
  <c r="AJ4294" i="2"/>
  <c r="AF4295" i="2"/>
  <c r="AK4295" i="2" s="1"/>
  <c r="AL4295" i="2" s="1"/>
  <c r="AG4295" i="2"/>
  <c r="AH4295" i="2"/>
  <c r="AI4295" i="2"/>
  <c r="AJ4295" i="2"/>
  <c r="AF4296" i="2"/>
  <c r="AK4296" i="2"/>
  <c r="AG4296" i="2"/>
  <c r="AL4296" i="2" s="1"/>
  <c r="AH4296" i="2"/>
  <c r="AI4296" i="2"/>
  <c r="AJ4296" i="2"/>
  <c r="AF4297" i="2"/>
  <c r="AK4297" i="2" s="1"/>
  <c r="AG4297" i="2"/>
  <c r="AH4297" i="2"/>
  <c r="AL4297" i="2" s="1"/>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L4300" i="2" s="1"/>
  <c r="AF4301" i="2"/>
  <c r="AK4301" i="2"/>
  <c r="AL4301" i="2" s="1"/>
  <c r="AG4301" i="2"/>
  <c r="AH4301" i="2"/>
  <c r="AI4301" i="2"/>
  <c r="AJ4301" i="2"/>
  <c r="AF4302" i="2"/>
  <c r="AK4302" i="2" s="1"/>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s="1"/>
  <c r="AG4311" i="2"/>
  <c r="AL4311" i="2"/>
  <c r="AH4311" i="2"/>
  <c r="AI4311" i="2"/>
  <c r="AJ4311" i="2"/>
  <c r="AF4312" i="2"/>
  <c r="AK4312" i="2" s="1"/>
  <c r="AG4312" i="2"/>
  <c r="AH4312" i="2"/>
  <c r="AI4312" i="2"/>
  <c r="AJ4312" i="2"/>
  <c r="AF4313" i="2"/>
  <c r="AK4313" i="2"/>
  <c r="AL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L4323" i="2" s="1"/>
  <c r="AJ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L4328" i="2" s="1"/>
  <c r="AF4329" i="2"/>
  <c r="AK4329" i="2"/>
  <c r="AG4329" i="2"/>
  <c r="AH4329" i="2"/>
  <c r="AI4329" i="2"/>
  <c r="AJ4329" i="2"/>
  <c r="AF4330" i="2"/>
  <c r="AK4330" i="2"/>
  <c r="AG4330" i="2"/>
  <c r="AH4330" i="2"/>
  <c r="AL4330" i="2" s="1"/>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G4338" i="2"/>
  <c r="AH4338" i="2"/>
  <c r="AI4338" i="2"/>
  <c r="AJ4338" i="2"/>
  <c r="AF4339" i="2"/>
  <c r="AK4339" i="2"/>
  <c r="AL4339" i="2" s="1"/>
  <c r="AG4339" i="2"/>
  <c r="AH4339" i="2"/>
  <c r="AI4339" i="2"/>
  <c r="AJ4339" i="2"/>
  <c r="AF4340" i="2"/>
  <c r="AK4340" i="2"/>
  <c r="AG4340" i="2"/>
  <c r="AH4340" i="2"/>
  <c r="AI4340" i="2"/>
  <c r="AJ4340" i="2"/>
  <c r="AL4340" i="2" s="1"/>
  <c r="AF4341" i="2"/>
  <c r="AK4341" i="2"/>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L4347" i="2" s="1"/>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L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c r="AG4355" i="2"/>
  <c r="AH4355" i="2"/>
  <c r="AI4355" i="2"/>
  <c r="AJ4355" i="2"/>
  <c r="AF4356" i="2"/>
  <c r="AK4356" i="2" s="1"/>
  <c r="AG4356" i="2"/>
  <c r="AL4356" i="2" s="1"/>
  <c r="AH4356" i="2"/>
  <c r="AI4356" i="2"/>
  <c r="AJ4356" i="2"/>
  <c r="AF4357" i="2"/>
  <c r="AK4357" i="2"/>
  <c r="AG4357" i="2"/>
  <c r="AH4357" i="2"/>
  <c r="AI4357" i="2"/>
  <c r="AJ4357" i="2"/>
  <c r="AF4358" i="2"/>
  <c r="AK4358" i="2" s="1"/>
  <c r="AG4358" i="2"/>
  <c r="AH4358" i="2"/>
  <c r="AI4358" i="2"/>
  <c r="AJ4358" i="2"/>
  <c r="AF4359" i="2"/>
  <c r="AK4359" i="2" s="1"/>
  <c r="AL4359" i="2" s="1"/>
  <c r="AG4359" i="2"/>
  <c r="AH4359" i="2"/>
  <c r="AI4359" i="2"/>
  <c r="AJ4359" i="2"/>
  <c r="AF4360" i="2"/>
  <c r="AK4360" i="2"/>
  <c r="AG4360" i="2"/>
  <c r="AH4360" i="2"/>
  <c r="AL4360" i="2" s="1"/>
  <c r="AI4360" i="2"/>
  <c r="AJ4360" i="2"/>
  <c r="AF4361" i="2"/>
  <c r="AK4361" i="2" s="1"/>
  <c r="AG4361" i="2"/>
  <c r="AH4361" i="2"/>
  <c r="AL4361" i="2" s="1"/>
  <c r="AI4361" i="2"/>
  <c r="AJ4361" i="2"/>
  <c r="AF4362" i="2"/>
  <c r="AK4362" i="2"/>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L4368" i="2" s="1"/>
  <c r="AG4368" i="2"/>
  <c r="AH4368" i="2"/>
  <c r="AI4368" i="2"/>
  <c r="AJ4368" i="2"/>
  <c r="AF4369" i="2"/>
  <c r="AK4369" i="2"/>
  <c r="AG4369" i="2"/>
  <c r="AH4369" i="2"/>
  <c r="AI4369" i="2"/>
  <c r="AJ4369" i="2"/>
  <c r="AL4369" i="2" s="1"/>
  <c r="AF4370" i="2"/>
  <c r="AK4370" i="2"/>
  <c r="AG4370" i="2"/>
  <c r="AH4370" i="2"/>
  <c r="AI4370" i="2"/>
  <c r="AJ4370" i="2"/>
  <c r="AF4371" i="2"/>
  <c r="AK4371" i="2"/>
  <c r="AG4371" i="2"/>
  <c r="AH4371" i="2"/>
  <c r="AI4371" i="2"/>
  <c r="AJ4371" i="2"/>
  <c r="AF4372" i="2"/>
  <c r="AK4372" i="2" s="1"/>
  <c r="AG4372" i="2"/>
  <c r="AH4372" i="2"/>
  <c r="AL4372" i="2" s="1"/>
  <c r="AI4372" i="2"/>
  <c r="AJ4372" i="2"/>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G4379" i="2"/>
  <c r="AH4379" i="2"/>
  <c r="AI4379" i="2"/>
  <c r="AJ4379" i="2"/>
  <c r="AF4380" i="2"/>
  <c r="AK4380" i="2" s="1"/>
  <c r="AG4380" i="2"/>
  <c r="AH4380" i="2"/>
  <c r="AL4380" i="2" s="1"/>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s="1"/>
  <c r="AL4386" i="2" s="1"/>
  <c r="AG4386" i="2"/>
  <c r="AH4386" i="2"/>
  <c r="AI4386" i="2"/>
  <c r="AJ4386" i="2"/>
  <c r="AF4387" i="2"/>
  <c r="AK4387" i="2" s="1"/>
  <c r="AL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s="1"/>
  <c r="AH4390" i="2"/>
  <c r="AI4390" i="2"/>
  <c r="AJ4390" i="2"/>
  <c r="AF4391" i="2"/>
  <c r="AK4391" i="2" s="1"/>
  <c r="AG4391" i="2"/>
  <c r="AH4391" i="2"/>
  <c r="AI4391" i="2"/>
  <c r="AJ4391" i="2"/>
  <c r="AF4392" i="2"/>
  <c r="AK4392" i="2" s="1"/>
  <c r="AL4392" i="2" s="1"/>
  <c r="AG4392" i="2"/>
  <c r="AH4392" i="2"/>
  <c r="AI4392" i="2"/>
  <c r="AJ4392" i="2"/>
  <c r="AF4393" i="2"/>
  <c r="AK4393" i="2"/>
  <c r="AG4393" i="2"/>
  <c r="AL4393" i="2" s="1"/>
  <c r="AH4393" i="2"/>
  <c r="AI4393" i="2"/>
  <c r="AJ4393" i="2"/>
  <c r="AF4394" i="2"/>
  <c r="AK4394" i="2"/>
  <c r="AG4394" i="2"/>
  <c r="AH4394" i="2"/>
  <c r="AI4394" i="2"/>
  <c r="AJ4394" i="2"/>
  <c r="AF4395" i="2"/>
  <c r="AK4395" i="2" s="1"/>
  <c r="AL4395" i="2" s="1"/>
  <c r="AG4395" i="2"/>
  <c r="AH4395" i="2"/>
  <c r="AI4395" i="2"/>
  <c r="AJ4395" i="2"/>
  <c r="AF4396" i="2"/>
  <c r="AK4396" i="2" s="1"/>
  <c r="AG4396" i="2"/>
  <c r="AH4396" i="2"/>
  <c r="AI4396" i="2"/>
  <c r="AJ4396" i="2"/>
  <c r="AL4396" i="2" s="1"/>
  <c r="AF4397" i="2"/>
  <c r="AK4397" i="2"/>
  <c r="AG4397" i="2"/>
  <c r="AL4397" i="2" s="1"/>
  <c r="AH4397" i="2"/>
  <c r="AI4397" i="2"/>
  <c r="AJ4397" i="2"/>
  <c r="AF4398" i="2"/>
  <c r="AK4398" i="2"/>
  <c r="AG4398" i="2"/>
  <c r="AL4398" i="2" s="1"/>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L4402" i="2" s="1"/>
  <c r="AG4402" i="2"/>
  <c r="AH4402" i="2"/>
  <c r="AI4402" i="2"/>
  <c r="AJ4402" i="2"/>
  <c r="AF4403" i="2"/>
  <c r="AK4403" i="2"/>
  <c r="AG4403" i="2"/>
  <c r="AH4403" i="2"/>
  <c r="AI4403" i="2"/>
  <c r="AJ4403" i="2"/>
  <c r="AL4403" i="2" s="1"/>
  <c r="AF4404" i="2"/>
  <c r="AK4404" i="2"/>
  <c r="AG4404" i="2"/>
  <c r="AH4404" i="2"/>
  <c r="AI4404" i="2"/>
  <c r="AJ4404" i="2"/>
  <c r="AF4405" i="2"/>
  <c r="AK4405" i="2" s="1"/>
  <c r="AL4405" i="2" s="1"/>
  <c r="AG4405" i="2"/>
  <c r="AH4405" i="2"/>
  <c r="AI4405" i="2"/>
  <c r="AJ4405" i="2"/>
  <c r="AF4406" i="2"/>
  <c r="AK4406" i="2" s="1"/>
  <c r="AG4406" i="2"/>
  <c r="AL4406" i="2" s="1"/>
  <c r="AH4406" i="2"/>
  <c r="AI4406" i="2"/>
  <c r="AJ4406" i="2"/>
  <c r="AF4407" i="2"/>
  <c r="AK4407" i="2"/>
  <c r="AG4407" i="2"/>
  <c r="AH4407" i="2"/>
  <c r="AL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L4410" i="2" s="1"/>
  <c r="AJ4410" i="2"/>
  <c r="AF4411" i="2"/>
  <c r="AK4411" i="2" s="1"/>
  <c r="AL4411" i="2" s="1"/>
  <c r="AG4411" i="2"/>
  <c r="AH4411" i="2"/>
  <c r="AI4411" i="2"/>
  <c r="AJ4411" i="2"/>
  <c r="AF4412" i="2"/>
  <c r="AK4412" i="2"/>
  <c r="AG4412" i="2"/>
  <c r="AL4412" i="2" s="1"/>
  <c r="AH4412" i="2"/>
  <c r="AI4412" i="2"/>
  <c r="AJ4412" i="2"/>
  <c r="AF4413" i="2"/>
  <c r="AK4413" i="2" s="1"/>
  <c r="AG4413" i="2"/>
  <c r="AH4413" i="2"/>
  <c r="AI4413" i="2"/>
  <c r="AJ4413" i="2"/>
  <c r="AF4414" i="2"/>
  <c r="AK4414" i="2"/>
  <c r="AL4414" i="2" s="1"/>
  <c r="AG4414" i="2"/>
  <c r="AH4414" i="2"/>
  <c r="AI4414" i="2"/>
  <c r="AJ4414" i="2"/>
  <c r="AF4415" i="2"/>
  <c r="AK4415" i="2"/>
  <c r="AG4415" i="2"/>
  <c r="AH4415" i="2"/>
  <c r="AI4415" i="2"/>
  <c r="AJ4415" i="2"/>
  <c r="AF4416" i="2"/>
  <c r="AK4416" i="2" s="1"/>
  <c r="AG4416" i="2"/>
  <c r="AH4416" i="2"/>
  <c r="AI4416" i="2"/>
  <c r="AJ4416" i="2"/>
  <c r="AF4417" i="2"/>
  <c r="AK4417" i="2"/>
  <c r="AG4417" i="2"/>
  <c r="AL4417" i="2" s="1"/>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J4421" i="2"/>
  <c r="AF4422" i="2"/>
  <c r="AK4422" i="2" s="1"/>
  <c r="AG4422" i="2"/>
  <c r="AL4422" i="2"/>
  <c r="AH4422" i="2"/>
  <c r="AI4422" i="2"/>
  <c r="AJ4422" i="2"/>
  <c r="AF4423" i="2"/>
  <c r="AK4423" i="2"/>
  <c r="AG4423" i="2"/>
  <c r="AL4423" i="2" s="1"/>
  <c r="AH4423" i="2"/>
  <c r="AI4423" i="2"/>
  <c r="AJ4423" i="2"/>
  <c r="AF4424" i="2"/>
  <c r="AK4424" i="2" s="1"/>
  <c r="AG4424" i="2"/>
  <c r="AH4424" i="2"/>
  <c r="AI4424" i="2"/>
  <c r="AJ4424" i="2"/>
  <c r="AF4425" i="2"/>
  <c r="AK4425" i="2" s="1"/>
  <c r="AL4425" i="2" s="1"/>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H4432" i="2"/>
  <c r="AI4432" i="2"/>
  <c r="AJ4432" i="2"/>
  <c r="AF4433" i="2"/>
  <c r="AK4433" i="2"/>
  <c r="AG4433" i="2"/>
  <c r="AH4433" i="2"/>
  <c r="AI4433" i="2"/>
  <c r="AJ4433" i="2"/>
  <c r="AF4434" i="2"/>
  <c r="AK4434" i="2"/>
  <c r="AL4434" i="2" s="1"/>
  <c r="AG4434" i="2"/>
  <c r="AH4434" i="2"/>
  <c r="AI4434" i="2"/>
  <c r="AJ4434" i="2"/>
  <c r="AF4435" i="2"/>
  <c r="AK4435" i="2" s="1"/>
  <c r="AG4435" i="2"/>
  <c r="AH4435" i="2"/>
  <c r="AI4435" i="2"/>
  <c r="AJ4435" i="2"/>
  <c r="AL4435" i="2" s="1"/>
  <c r="AF4436" i="2"/>
  <c r="AK4436" i="2"/>
  <c r="AG4436" i="2"/>
  <c r="AH4436" i="2"/>
  <c r="AI4436" i="2"/>
  <c r="AJ4436" i="2"/>
  <c r="AF4437" i="2"/>
  <c r="AK4437" i="2"/>
  <c r="AG4437" i="2"/>
  <c r="AL4437" i="2" s="1"/>
  <c r="AH4437" i="2"/>
  <c r="AI4437" i="2"/>
  <c r="AJ4437" i="2"/>
  <c r="AF4438" i="2"/>
  <c r="AK4438" i="2" s="1"/>
  <c r="AG4438" i="2"/>
  <c r="AL4438" i="2" s="1"/>
  <c r="AH4438" i="2"/>
  <c r="AI4438" i="2"/>
  <c r="AJ4438" i="2"/>
  <c r="AF4439" i="2"/>
  <c r="AK4439" i="2"/>
  <c r="AL4439" i="2" s="1"/>
  <c r="AG4439" i="2"/>
  <c r="AH4439" i="2"/>
  <c r="AI4439" i="2"/>
  <c r="AJ4439" i="2"/>
  <c r="AF4440" i="2"/>
  <c r="AK4440" i="2"/>
  <c r="AG4440" i="2"/>
  <c r="AH4440" i="2"/>
  <c r="AI4440" i="2"/>
  <c r="AJ4440" i="2"/>
  <c r="AL4440" i="2" s="1"/>
  <c r="AF4441" i="2"/>
  <c r="AK4441" i="2" s="1"/>
  <c r="AL4441" i="2" s="1"/>
  <c r="AG4441" i="2"/>
  <c r="AH4441" i="2"/>
  <c r="AI4441" i="2"/>
  <c r="AJ4441" i="2"/>
  <c r="AF4442" i="2"/>
  <c r="AK4442" i="2" s="1"/>
  <c r="AG4442" i="2"/>
  <c r="AH4442" i="2"/>
  <c r="AI4442" i="2"/>
  <c r="AJ4442" i="2"/>
  <c r="AF4443" i="2"/>
  <c r="AK4443" i="2" s="1"/>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s="1"/>
  <c r="AH4450" i="2"/>
  <c r="AI4450" i="2"/>
  <c r="AJ4450" i="2"/>
  <c r="AF4451" i="2"/>
  <c r="AK4451" i="2" s="1"/>
  <c r="AG4451" i="2"/>
  <c r="AH4451" i="2"/>
  <c r="AI4451" i="2"/>
  <c r="AL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c r="AG4458" i="2"/>
  <c r="AL4458" i="2" s="1"/>
  <c r="AH4458" i="2"/>
  <c r="AI4458" i="2"/>
  <c r="AJ4458" i="2"/>
  <c r="AF4459" i="2"/>
  <c r="AK4459" i="2"/>
  <c r="AG4459" i="2"/>
  <c r="AH4459" i="2"/>
  <c r="AI4459" i="2"/>
  <c r="AJ4459" i="2"/>
  <c r="AF4460" i="2"/>
  <c r="AK4460" i="2" s="1"/>
  <c r="AG4460" i="2"/>
  <c r="AH4460" i="2"/>
  <c r="AI4460" i="2"/>
  <c r="AJ4460" i="2"/>
  <c r="AF4461" i="2"/>
  <c r="AK4461" i="2"/>
  <c r="AG4461" i="2"/>
  <c r="AH4461" i="2"/>
  <c r="AI4461" i="2"/>
  <c r="AJ4461" i="2"/>
  <c r="AF4462" i="2"/>
  <c r="AK4462" i="2" s="1"/>
  <c r="AG4462" i="2"/>
  <c r="AL4462" i="2" s="1"/>
  <c r="AH4462" i="2"/>
  <c r="AI4462" i="2"/>
  <c r="AJ4462" i="2"/>
  <c r="AF4463" i="2"/>
  <c r="AK4463" i="2" s="1"/>
  <c r="AG4463" i="2"/>
  <c r="AH4463" i="2"/>
  <c r="AI4463" i="2"/>
  <c r="AJ4463" i="2"/>
  <c r="AF4464" i="2"/>
  <c r="AK4464" i="2"/>
  <c r="AG4464" i="2"/>
  <c r="AH4464" i="2"/>
  <c r="AL4464" i="2" s="1"/>
  <c r="AI4464" i="2"/>
  <c r="AJ4464" i="2"/>
  <c r="AF4465" i="2"/>
  <c r="AK4465" i="2"/>
  <c r="AG4465" i="2"/>
  <c r="AL4465" i="2" s="1"/>
  <c r="AH4465" i="2"/>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s="1"/>
  <c r="AG4473" i="2"/>
  <c r="AL4473" i="2" s="1"/>
  <c r="AH4473" i="2"/>
  <c r="AI4473" i="2"/>
  <c r="AJ4473" i="2"/>
  <c r="AF4474" i="2"/>
  <c r="AK4474" i="2"/>
  <c r="AG4474" i="2"/>
  <c r="AH4474" i="2"/>
  <c r="AI4474" i="2"/>
  <c r="AJ4474" i="2"/>
  <c r="AF4475" i="2"/>
  <c r="AK4475" i="2" s="1"/>
  <c r="AG4475" i="2"/>
  <c r="AH4475" i="2"/>
  <c r="AI4475" i="2"/>
  <c r="AJ4475" i="2"/>
  <c r="AF4476" i="2"/>
  <c r="AK4476" i="2" s="1"/>
  <c r="AL4476" i="2" s="1"/>
  <c r="AG4476" i="2"/>
  <c r="AH4476" i="2"/>
  <c r="AI4476" i="2"/>
  <c r="AJ4476" i="2"/>
  <c r="AF4477" i="2"/>
  <c r="AK4477" i="2"/>
  <c r="AG4477" i="2"/>
  <c r="AL4477" i="2" s="1"/>
  <c r="AH4477" i="2"/>
  <c r="AI4477" i="2"/>
  <c r="AJ4477" i="2"/>
  <c r="AF4478" i="2"/>
  <c r="AK4478" i="2" s="1"/>
  <c r="AL4478" i="2" s="1"/>
  <c r="AG4478" i="2"/>
  <c r="AH4478" i="2"/>
  <c r="AI4478" i="2"/>
  <c r="AJ4478" i="2"/>
  <c r="AF4479" i="2"/>
  <c r="AK4479" i="2" s="1"/>
  <c r="AL4479" i="2" s="1"/>
  <c r="AG4479" i="2"/>
  <c r="AH4479" i="2"/>
  <c r="AI4479" i="2"/>
  <c r="AJ4479" i="2"/>
  <c r="AF4480" i="2"/>
  <c r="AK4480" i="2"/>
  <c r="AG4480" i="2"/>
  <c r="AH4480" i="2"/>
  <c r="AL4480" i="2" s="1"/>
  <c r="AI4480" i="2"/>
  <c r="AJ4480" i="2"/>
  <c r="AF4481" i="2"/>
  <c r="AK4481" i="2" s="1"/>
  <c r="AG4481" i="2"/>
  <c r="AH4481" i="2"/>
  <c r="AI4481" i="2"/>
  <c r="AJ4481" i="2"/>
  <c r="AF4482" i="2"/>
  <c r="AK4482" i="2"/>
  <c r="AG4482" i="2"/>
  <c r="AH4482" i="2"/>
  <c r="AI4482" i="2"/>
  <c r="AJ4482" i="2"/>
  <c r="AF4483" i="2"/>
  <c r="AK4483" i="2" s="1"/>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s="1"/>
  <c r="AG4490" i="2"/>
  <c r="AL4490" i="2" s="1"/>
  <c r="AH4490" i="2"/>
  <c r="AI4490" i="2"/>
  <c r="AJ4490" i="2"/>
  <c r="AF4491" i="2"/>
  <c r="AK4491" i="2" s="1"/>
  <c r="AG4491" i="2"/>
  <c r="AL4491" i="2"/>
  <c r="AH4491" i="2"/>
  <c r="AI4491" i="2"/>
  <c r="AJ4491" i="2"/>
  <c r="AF4492" i="2"/>
  <c r="AK4492" i="2" s="1"/>
  <c r="AG4492" i="2"/>
  <c r="AH4492" i="2"/>
  <c r="AL4492" i="2" s="1"/>
  <c r="AI4492" i="2"/>
  <c r="AJ4492" i="2"/>
  <c r="AF4493" i="2"/>
  <c r="AK4493" i="2" s="1"/>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L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s="1"/>
  <c r="AL4504" i="2" s="1"/>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I4508" i="2"/>
  <c r="AL4508" i="2" s="1"/>
  <c r="AJ4508" i="2"/>
  <c r="AF4509" i="2"/>
  <c r="AK4509" i="2" s="1"/>
  <c r="AG4509" i="2"/>
  <c r="AH4509" i="2"/>
  <c r="AL4509" i="2" s="1"/>
  <c r="AI4509" i="2"/>
  <c r="AJ4509" i="2"/>
  <c r="AF4510" i="2"/>
  <c r="AK4510" i="2"/>
  <c r="AG4510" i="2"/>
  <c r="AL4510" i="2" s="1"/>
  <c r="AH4510" i="2"/>
  <c r="AI4510" i="2"/>
  <c r="AJ4510" i="2"/>
  <c r="AF4511" i="2"/>
  <c r="AK4511" i="2" s="1"/>
  <c r="AL4511" i="2" s="1"/>
  <c r="AG4511" i="2"/>
  <c r="AH4511" i="2"/>
  <c r="AI4511" i="2"/>
  <c r="AJ4511" i="2"/>
  <c r="AF4512" i="2"/>
  <c r="AK4512" i="2" s="1"/>
  <c r="AG4512" i="2"/>
  <c r="AH4512" i="2"/>
  <c r="AI4512" i="2"/>
  <c r="AJ4512" i="2"/>
  <c r="AF4513" i="2"/>
  <c r="AK4513" i="2" s="1"/>
  <c r="AG4513" i="2"/>
  <c r="AH4513" i="2"/>
  <c r="AI4513" i="2"/>
  <c r="AJ4513" i="2"/>
  <c r="AF4514" i="2"/>
  <c r="AK4514" i="2"/>
  <c r="AG4514" i="2"/>
  <c r="AL4514" i="2" s="1"/>
  <c r="AH4514" i="2"/>
  <c r="AI4514" i="2"/>
  <c r="AJ4514" i="2"/>
  <c r="AF4515" i="2"/>
  <c r="AK4515" i="2" s="1"/>
  <c r="AG4515" i="2"/>
  <c r="AH4515" i="2"/>
  <c r="AI4515" i="2"/>
  <c r="AJ4515" i="2"/>
  <c r="AL4515" i="2" s="1"/>
  <c r="AF4516" i="2"/>
  <c r="AK4516" i="2" s="1"/>
  <c r="AG4516" i="2"/>
  <c r="AH4516" i="2"/>
  <c r="AI4516" i="2"/>
  <c r="AJ4516" i="2"/>
  <c r="AF4517" i="2"/>
  <c r="AK4517" i="2"/>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L4525" i="2" s="1"/>
  <c r="AF4526" i="2"/>
  <c r="AK4526" i="2" s="1"/>
  <c r="AL4526" i="2" s="1"/>
  <c r="AG4526" i="2"/>
  <c r="AH4526" i="2"/>
  <c r="AI4526" i="2"/>
  <c r="AJ4526" i="2"/>
  <c r="AF4527" i="2"/>
  <c r="AK4527" i="2"/>
  <c r="AG4527" i="2"/>
  <c r="AH4527" i="2"/>
  <c r="AI4527" i="2"/>
  <c r="AJ4527" i="2"/>
  <c r="AF4528" i="2"/>
  <c r="AK4528" i="2"/>
  <c r="AG4528" i="2"/>
  <c r="AH4528" i="2"/>
  <c r="AI4528" i="2"/>
  <c r="AJ4528" i="2"/>
  <c r="AL4528" i="2" s="1"/>
  <c r="AF4529" i="2"/>
  <c r="AK4529" i="2" s="1"/>
  <c r="AL4529" i="2" s="1"/>
  <c r="AG4529" i="2"/>
  <c r="AH4529" i="2"/>
  <c r="AI4529" i="2"/>
  <c r="AJ4529" i="2"/>
  <c r="AF4530" i="2"/>
  <c r="AK4530" i="2" s="1"/>
  <c r="AG4530" i="2"/>
  <c r="AH4530" i="2"/>
  <c r="AI4530" i="2"/>
  <c r="AJ4530" i="2"/>
  <c r="AF4531" i="2"/>
  <c r="AK4531" i="2"/>
  <c r="AG4531" i="2"/>
  <c r="AH4531" i="2"/>
  <c r="AI4531" i="2"/>
  <c r="AJ4531" i="2"/>
  <c r="AL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L4540" i="2" s="1"/>
  <c r="AH4540" i="2"/>
  <c r="AI4540" i="2"/>
  <c r="AJ4540" i="2"/>
  <c r="AF4541" i="2"/>
  <c r="AK4541" i="2" s="1"/>
  <c r="AL4541" i="2" s="1"/>
  <c r="AG4541" i="2"/>
  <c r="AH4541" i="2"/>
  <c r="AI4541" i="2"/>
  <c r="AJ4541" i="2"/>
  <c r="AF4542" i="2"/>
  <c r="AK4542" i="2"/>
  <c r="AG4542" i="2"/>
  <c r="AL4542" i="2" s="1"/>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c r="AG4546" i="2"/>
  <c r="AL4546" i="2" s="1"/>
  <c r="AH4546" i="2"/>
  <c r="AI4546" i="2"/>
  <c r="AJ4546" i="2"/>
  <c r="AF4547" i="2"/>
  <c r="AK4547" i="2"/>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L4557" i="2" s="1"/>
  <c r="AJ4557" i="2"/>
  <c r="AF4558" i="2"/>
  <c r="AK4558" i="2" s="1"/>
  <c r="AG4558" i="2"/>
  <c r="AH4558" i="2"/>
  <c r="AI4558" i="2"/>
  <c r="AJ4558" i="2"/>
  <c r="AF4559" i="2"/>
  <c r="AK4559" i="2"/>
  <c r="AG4559" i="2"/>
  <c r="AH4559" i="2"/>
  <c r="AI4559" i="2"/>
  <c r="AJ4559" i="2"/>
  <c r="AL4559" i="2" s="1"/>
  <c r="AF4560" i="2"/>
  <c r="AK4560" i="2" s="1"/>
  <c r="AG4560" i="2"/>
  <c r="AH4560" i="2"/>
  <c r="AI4560" i="2"/>
  <c r="AJ4560" i="2"/>
  <c r="AF4561" i="2"/>
  <c r="AK4561" i="2" s="1"/>
  <c r="AG4561" i="2"/>
  <c r="AH4561" i="2"/>
  <c r="AI4561" i="2"/>
  <c r="AJ4561" i="2"/>
  <c r="AF4562" i="2"/>
  <c r="AK4562" i="2"/>
  <c r="AG4562" i="2"/>
  <c r="AL4562" i="2" s="1"/>
  <c r="AH4562" i="2"/>
  <c r="AI4562" i="2"/>
  <c r="AJ4562" i="2"/>
  <c r="AF4563" i="2"/>
  <c r="AK4563" i="2" s="1"/>
  <c r="AL4563" i="2" s="1"/>
  <c r="AG4563" i="2"/>
  <c r="AH4563" i="2"/>
  <c r="AI4563" i="2"/>
  <c r="AJ4563" i="2"/>
  <c r="AF4564" i="2"/>
  <c r="AK4564" i="2" s="1"/>
  <c r="AG4564" i="2"/>
  <c r="AL4564" i="2" s="1"/>
  <c r="AH4564" i="2"/>
  <c r="AI4564" i="2"/>
  <c r="AJ4564" i="2"/>
  <c r="AF4565" i="2"/>
  <c r="AK4565" i="2" s="1"/>
  <c r="AL4565" i="2" s="1"/>
  <c r="AG4565" i="2"/>
  <c r="AH4565" i="2"/>
  <c r="AI4565" i="2"/>
  <c r="AJ4565" i="2"/>
  <c r="AF4566" i="2"/>
  <c r="AK4566" i="2"/>
  <c r="AG4566" i="2"/>
  <c r="AH4566" i="2"/>
  <c r="AI4566" i="2"/>
  <c r="AJ4566" i="2"/>
  <c r="AF4567" i="2"/>
  <c r="AK4567" i="2"/>
  <c r="AG4567" i="2"/>
  <c r="AH4567" i="2"/>
  <c r="AL4567" i="2" s="1"/>
  <c r="AI4567" i="2"/>
  <c r="AJ4567" i="2"/>
  <c r="AF4568" i="2"/>
  <c r="AK4568" i="2" s="1"/>
  <c r="AG4568" i="2"/>
  <c r="AL4568" i="2" s="1"/>
  <c r="AH4568" i="2"/>
  <c r="AI4568" i="2"/>
  <c r="AJ4568" i="2"/>
  <c r="AF4569" i="2"/>
  <c r="AK4569" i="2"/>
  <c r="AL4569" i="2" s="1"/>
  <c r="AG4569" i="2"/>
  <c r="AH4569" i="2"/>
  <c r="AI4569" i="2"/>
  <c r="AJ4569" i="2"/>
  <c r="AF4570" i="2"/>
  <c r="AK4570" i="2" s="1"/>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L4573" i="2" s="1"/>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F4579" i="2"/>
  <c r="AK4579" i="2" s="1"/>
  <c r="AL4579" i="2" s="1"/>
  <c r="AG4579" i="2"/>
  <c r="AH4579" i="2"/>
  <c r="AI4579" i="2"/>
  <c r="AJ4579" i="2"/>
  <c r="AF4580" i="2"/>
  <c r="AK4580" i="2" s="1"/>
  <c r="AG4580" i="2"/>
  <c r="AH4580" i="2"/>
  <c r="AI4580" i="2"/>
  <c r="AL4580" i="2" s="1"/>
  <c r="AJ4580" i="2"/>
  <c r="AF4581" i="2"/>
  <c r="AK4581" i="2" s="1"/>
  <c r="AL4581" i="2" s="1"/>
  <c r="AG4581" i="2"/>
  <c r="AH4581" i="2"/>
  <c r="AI4581" i="2"/>
  <c r="AJ4581" i="2"/>
  <c r="AF4582" i="2"/>
  <c r="AK4582" i="2" s="1"/>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s="1"/>
  <c r="AL4586" i="2" s="1"/>
  <c r="AG4586" i="2"/>
  <c r="AH4586" i="2"/>
  <c r="AI4586" i="2"/>
  <c r="AJ4586" i="2"/>
  <c r="AF4587" i="2"/>
  <c r="AK4587" i="2"/>
  <c r="AG4587" i="2"/>
  <c r="AL4587" i="2" s="1"/>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G4594" i="2"/>
  <c r="AH4594" i="2"/>
  <c r="AI4594" i="2"/>
  <c r="AJ4594" i="2"/>
  <c r="AF4595" i="2"/>
  <c r="AK4595" i="2"/>
  <c r="AG4595" i="2"/>
  <c r="AL4595" i="2" s="1"/>
  <c r="AH4595" i="2"/>
  <c r="AI4595" i="2"/>
  <c r="AJ4595" i="2"/>
  <c r="AF4596" i="2"/>
  <c r="AK4596" i="2" s="1"/>
  <c r="AG4596" i="2"/>
  <c r="AL4596" i="2" s="1"/>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J4600" i="2"/>
  <c r="AF4601" i="2"/>
  <c r="AK4601" i="2" s="1"/>
  <c r="AG4601" i="2"/>
  <c r="AH4601" i="2"/>
  <c r="AI4601" i="2"/>
  <c r="AJ4601" i="2"/>
  <c r="AF4602" i="2"/>
  <c r="AK4602" i="2" s="1"/>
  <c r="AL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s="1"/>
  <c r="AG4608" i="2"/>
  <c r="AH4608" i="2"/>
  <c r="AI4608" i="2"/>
  <c r="AJ4608" i="2"/>
  <c r="AF4609" i="2"/>
  <c r="AK4609" i="2"/>
  <c r="AL4609" i="2" s="1"/>
  <c r="AG4609" i="2"/>
  <c r="AH4609" i="2"/>
  <c r="AI4609" i="2"/>
  <c r="AJ4609" i="2"/>
  <c r="AF4610" i="2"/>
  <c r="AK4610" i="2" s="1"/>
  <c r="AG4610" i="2"/>
  <c r="AH4610" i="2"/>
  <c r="AI4610" i="2"/>
  <c r="AJ4610" i="2"/>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s="1"/>
  <c r="AG4620" i="2"/>
  <c r="AL4620" i="2" s="1"/>
  <c r="AH4620" i="2"/>
  <c r="AI4620" i="2"/>
  <c r="AJ4620" i="2"/>
  <c r="AF4621" i="2"/>
  <c r="AK4621" i="2" s="1"/>
  <c r="AL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s="1"/>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L4628" i="2" s="1"/>
  <c r="AH4628" i="2"/>
  <c r="AI4628" i="2"/>
  <c r="AJ4628" i="2"/>
  <c r="AF4629" i="2"/>
  <c r="AK4629" i="2" s="1"/>
  <c r="AG4629" i="2"/>
  <c r="AH4629" i="2"/>
  <c r="AI4629" i="2"/>
  <c r="AJ4629" i="2"/>
  <c r="AF4630" i="2"/>
  <c r="AK4630" i="2" s="1"/>
  <c r="AL4630" i="2" s="1"/>
  <c r="AG4630" i="2"/>
  <c r="AH4630" i="2"/>
  <c r="AI4630" i="2"/>
  <c r="AJ4630" i="2"/>
  <c r="AF4631" i="2"/>
  <c r="AK4631" i="2"/>
  <c r="AG4631" i="2"/>
  <c r="AL4631" i="2" s="1"/>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L4636" i="2" s="1"/>
  <c r="AJ4636" i="2"/>
  <c r="AF4637" i="2"/>
  <c r="AK4637" i="2" s="1"/>
  <c r="AL4637" i="2" s="1"/>
  <c r="AG4637" i="2"/>
  <c r="AH4637" i="2"/>
  <c r="AI4637" i="2"/>
  <c r="AJ4637" i="2"/>
  <c r="AF4638" i="2"/>
  <c r="AK4638" i="2"/>
  <c r="AG4638" i="2"/>
  <c r="AH4638" i="2"/>
  <c r="AI4638" i="2"/>
  <c r="AJ4638" i="2"/>
  <c r="AF4639" i="2"/>
  <c r="AK4639" i="2" s="1"/>
  <c r="AG4639" i="2"/>
  <c r="AL4639" i="2" s="1"/>
  <c r="AH4639" i="2"/>
  <c r="AI4639" i="2"/>
  <c r="AJ4639" i="2"/>
  <c r="AF4640" i="2"/>
  <c r="AK4640" i="2" s="1"/>
  <c r="AG4640" i="2"/>
  <c r="AL4640" i="2" s="1"/>
  <c r="AH4640" i="2"/>
  <c r="AI4640" i="2"/>
  <c r="AJ4640" i="2"/>
  <c r="AF4641" i="2"/>
  <c r="AK4641" i="2"/>
  <c r="AG4641" i="2"/>
  <c r="AH4641" i="2"/>
  <c r="AI4641" i="2"/>
  <c r="AJ4641" i="2"/>
  <c r="AF4642" i="2"/>
  <c r="AK4642" i="2" s="1"/>
  <c r="AL4642" i="2" s="1"/>
  <c r="AG4642" i="2"/>
  <c r="AH4642" i="2"/>
  <c r="AI4642" i="2"/>
  <c r="AJ4642" i="2"/>
  <c r="AF4643" i="2"/>
  <c r="AK4643" i="2"/>
  <c r="AG4643" i="2"/>
  <c r="AH4643" i="2"/>
  <c r="AI4643" i="2"/>
  <c r="AJ4643" i="2"/>
  <c r="AF4644" i="2"/>
  <c r="AK4644" i="2"/>
  <c r="AL4644" i="2" s="1"/>
  <c r="AG4644" i="2"/>
  <c r="AH4644" i="2"/>
  <c r="AI4644" i="2"/>
  <c r="AJ4644" i="2"/>
  <c r="AF4645" i="2"/>
  <c r="AK4645" i="2" s="1"/>
  <c r="AG4645" i="2"/>
  <c r="AH4645" i="2"/>
  <c r="AI4645" i="2"/>
  <c r="AJ4645" i="2"/>
  <c r="AL4645" i="2" s="1"/>
  <c r="AF4646" i="2"/>
  <c r="AK4646" i="2" s="1"/>
  <c r="AG4646" i="2"/>
  <c r="AH4646" i="2"/>
  <c r="AL4646" i="2" s="1"/>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c r="AG4651" i="2"/>
  <c r="AH4651" i="2"/>
  <c r="AI4651" i="2"/>
  <c r="AJ4651" i="2"/>
  <c r="AL4651" i="2" s="1"/>
  <c r="AF4652" i="2"/>
  <c r="AK4652" i="2" s="1"/>
  <c r="AL4652" i="2" s="1"/>
  <c r="AG4652" i="2"/>
  <c r="AH4652" i="2"/>
  <c r="AI4652" i="2"/>
  <c r="AJ4652" i="2"/>
  <c r="AF4653" i="2"/>
  <c r="AK4653" i="2" s="1"/>
  <c r="AL4653" i="2" s="1"/>
  <c r="AG4653" i="2"/>
  <c r="AH4653" i="2"/>
  <c r="AI4653" i="2"/>
  <c r="AJ4653" i="2"/>
  <c r="AF4654" i="2"/>
  <c r="AK4654" i="2"/>
  <c r="AG4654" i="2"/>
  <c r="AH4654" i="2"/>
  <c r="AI4654" i="2"/>
  <c r="AJ4654" i="2"/>
  <c r="AL4654" i="2" s="1"/>
  <c r="AF4655" i="2"/>
  <c r="AK4655" i="2" s="1"/>
  <c r="AG4655" i="2"/>
  <c r="AH4655" i="2"/>
  <c r="AI4655" i="2"/>
  <c r="AJ4655" i="2"/>
  <c r="AF4656" i="2"/>
  <c r="AK4656" i="2" s="1"/>
  <c r="AG4656" i="2"/>
  <c r="AH4656" i="2"/>
  <c r="AL4656" i="2" s="1"/>
  <c r="AI4656" i="2"/>
  <c r="AJ4656" i="2"/>
  <c r="AF4657" i="2"/>
  <c r="AK4657" i="2"/>
  <c r="AG4657" i="2"/>
  <c r="AL4657" i="2" s="1"/>
  <c r="AH4657" i="2"/>
  <c r="AI4657" i="2"/>
  <c r="AJ4657" i="2"/>
  <c r="AF4658" i="2"/>
  <c r="AK4658" i="2" s="1"/>
  <c r="AL4658" i="2" s="1"/>
  <c r="AG4658" i="2"/>
  <c r="AH4658" i="2"/>
  <c r="AI4658" i="2"/>
  <c r="AJ4658" i="2"/>
  <c r="AF4659" i="2"/>
  <c r="AK4659" i="2" s="1"/>
  <c r="AL4659" i="2" s="1"/>
  <c r="AG4659" i="2"/>
  <c r="AH4659" i="2"/>
  <c r="AI4659" i="2"/>
  <c r="AJ4659" i="2"/>
  <c r="AF4660" i="2"/>
  <c r="AK4660" i="2" s="1"/>
  <c r="AG4660" i="2"/>
  <c r="AL4660" i="2" s="1"/>
  <c r="AH4660" i="2"/>
  <c r="AI4660" i="2"/>
  <c r="AJ4660" i="2"/>
  <c r="AF4661" i="2"/>
  <c r="AK4661" i="2"/>
  <c r="AG4661" i="2"/>
  <c r="AH4661" i="2"/>
  <c r="AI4661" i="2"/>
  <c r="AJ4661" i="2"/>
  <c r="AL4661" i="2" s="1"/>
  <c r="AF4662" i="2"/>
  <c r="AK4662" i="2"/>
  <c r="AG4662" i="2"/>
  <c r="AL4662" i="2" s="1"/>
  <c r="AH4662" i="2"/>
  <c r="AI4662" i="2"/>
  <c r="AJ4662" i="2"/>
  <c r="AF4663" i="2"/>
  <c r="AK4663" i="2"/>
  <c r="AG4663" i="2"/>
  <c r="AH4663" i="2"/>
  <c r="AI4663" i="2"/>
  <c r="AJ4663" i="2"/>
  <c r="AF4664" i="2"/>
  <c r="AK4664" i="2"/>
  <c r="AL4664" i="2" s="1"/>
  <c r="AG4664" i="2"/>
  <c r="AH4664" i="2"/>
  <c r="AI4664" i="2"/>
  <c r="AJ4664" i="2"/>
  <c r="AF4665" i="2"/>
  <c r="AK4665" i="2" s="1"/>
  <c r="AG4665" i="2"/>
  <c r="AH4665" i="2"/>
  <c r="AI4665" i="2"/>
  <c r="AJ4665" i="2"/>
  <c r="AF4666" i="2"/>
  <c r="AK4666" i="2" s="1"/>
  <c r="AG4666" i="2"/>
  <c r="AH4666" i="2"/>
  <c r="AI4666" i="2"/>
  <c r="AJ4666" i="2"/>
  <c r="AF4667" i="2"/>
  <c r="AK4667" i="2"/>
  <c r="AL4667" i="2"/>
  <c r="AG4667" i="2"/>
  <c r="AH4667" i="2"/>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c r="AG4676" i="2"/>
  <c r="AL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L4681" i="2" s="1"/>
  <c r="AH4681" i="2"/>
  <c r="AI4681" i="2"/>
  <c r="AJ4681" i="2"/>
  <c r="AF4682" i="2"/>
  <c r="AK4682" i="2"/>
  <c r="AG4682" i="2"/>
  <c r="AH4682" i="2"/>
  <c r="AI4682" i="2"/>
  <c r="AJ4682" i="2"/>
  <c r="AF4683" i="2"/>
  <c r="AK4683" i="2"/>
  <c r="AG4683" i="2"/>
  <c r="AL4683" i="2" s="1"/>
  <c r="AH4683" i="2"/>
  <c r="AI4683" i="2"/>
  <c r="AJ4683" i="2"/>
  <c r="AF4684" i="2"/>
  <c r="AK4684" i="2" s="1"/>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s="1"/>
  <c r="AL4692" i="2" s="1"/>
  <c r="AG4692" i="2"/>
  <c r="AH4692" i="2"/>
  <c r="AI4692" i="2"/>
  <c r="AJ4692" i="2"/>
  <c r="AF4693" i="2"/>
  <c r="AK4693" i="2" s="1"/>
  <c r="AG4693" i="2"/>
  <c r="AL4693" i="2" s="1"/>
  <c r="AH4693" i="2"/>
  <c r="AI4693" i="2"/>
  <c r="AJ4693" i="2"/>
  <c r="AF4694" i="2"/>
  <c r="AK4694" i="2"/>
  <c r="AG4694" i="2"/>
  <c r="AH4694" i="2"/>
  <c r="AL4694" i="2"/>
  <c r="AI4694" i="2"/>
  <c r="AJ4694" i="2"/>
  <c r="AF4695" i="2"/>
  <c r="AK4695" i="2"/>
  <c r="AG4695" i="2"/>
  <c r="AH4695" i="2"/>
  <c r="AI4695" i="2"/>
  <c r="AJ4695" i="2"/>
  <c r="AL4695" i="2" s="1"/>
  <c r="AF4696" i="2"/>
  <c r="AK4696" i="2" s="1"/>
  <c r="AG4696" i="2"/>
  <c r="AL4696" i="2" s="1"/>
  <c r="AH4696" i="2"/>
  <c r="AI4696" i="2"/>
  <c r="AJ4696" i="2"/>
  <c r="AF4697" i="2"/>
  <c r="AK4697" i="2"/>
  <c r="AG4697" i="2"/>
  <c r="AH4697" i="2"/>
  <c r="AL4697" i="2" s="1"/>
  <c r="AI4697" i="2"/>
  <c r="AJ4697" i="2"/>
  <c r="AF4698" i="2"/>
  <c r="AK4698" i="2"/>
  <c r="AG4698" i="2"/>
  <c r="AH4698" i="2"/>
  <c r="AI4698" i="2"/>
  <c r="AJ4698" i="2"/>
  <c r="AF4699" i="2"/>
  <c r="AK4699" i="2"/>
  <c r="AG4699" i="2"/>
  <c r="AH4699" i="2"/>
  <c r="AI4699" i="2"/>
  <c r="AJ4699" i="2"/>
  <c r="AF4700" i="2"/>
  <c r="AK4700" i="2"/>
  <c r="AG4700" i="2"/>
  <c r="AH4700" i="2"/>
  <c r="AI4700" i="2"/>
  <c r="AJ4700" i="2"/>
  <c r="AF4701" i="2"/>
  <c r="AK4701" i="2"/>
  <c r="AG4701" i="2"/>
  <c r="AH4701" i="2"/>
  <c r="AI4701" i="2"/>
  <c r="AJ4701" i="2"/>
  <c r="AL4701" i="2" s="1"/>
  <c r="AF4702" i="2"/>
  <c r="AK4702" i="2" s="1"/>
  <c r="AG4702" i="2"/>
  <c r="AL4702" i="2" s="1"/>
  <c r="AH4702" i="2"/>
  <c r="AI4702" i="2"/>
  <c r="AJ4702" i="2"/>
  <c r="AF4703" i="2"/>
  <c r="AK4703" i="2" s="1"/>
  <c r="AG4703" i="2"/>
  <c r="AL4703" i="2" s="1"/>
  <c r="AH4703" i="2"/>
  <c r="AI4703" i="2"/>
  <c r="AJ4703" i="2"/>
  <c r="AF4704" i="2"/>
  <c r="AK4704" i="2"/>
  <c r="AG4704" i="2"/>
  <c r="AH4704" i="2"/>
  <c r="AI4704" i="2"/>
  <c r="AJ4704" i="2"/>
  <c r="AF4705" i="2"/>
  <c r="AK4705" i="2" s="1"/>
  <c r="AG4705" i="2"/>
  <c r="AH4705" i="2"/>
  <c r="AI4705" i="2"/>
  <c r="AJ4705" i="2"/>
  <c r="AF4706" i="2"/>
  <c r="AK4706" i="2" s="1"/>
  <c r="AG4706" i="2"/>
  <c r="AH4706" i="2"/>
  <c r="AL4706" i="2" s="1"/>
  <c r="AI4706" i="2"/>
  <c r="AJ4706" i="2"/>
  <c r="AF4707" i="2"/>
  <c r="AK4707" i="2"/>
  <c r="AG4707" i="2"/>
  <c r="AL4707" i="2" s="1"/>
  <c r="AH4707" i="2"/>
  <c r="AI4707" i="2"/>
  <c r="AJ4707" i="2"/>
  <c r="AF4708" i="2"/>
  <c r="AK4708" i="2" s="1"/>
  <c r="AG4708" i="2"/>
  <c r="AL4708" i="2" s="1"/>
  <c r="AH4708" i="2"/>
  <c r="AI4708" i="2"/>
  <c r="AJ4708" i="2"/>
  <c r="AF4709" i="2"/>
  <c r="AK4709" i="2"/>
  <c r="AG4709" i="2"/>
  <c r="AL4709" i="2"/>
  <c r="AH4709" i="2"/>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G4714" i="2"/>
  <c r="AH4714" i="2"/>
  <c r="AI4714" i="2"/>
  <c r="AL4714" i="2" s="1"/>
  <c r="AJ4714" i="2"/>
  <c r="AF4715" i="2"/>
  <c r="AK4715" i="2"/>
  <c r="AG4715" i="2"/>
  <c r="AL4715" i="2" s="1"/>
  <c r="AH4715" i="2"/>
  <c r="AI4715" i="2"/>
  <c r="AJ4715" i="2"/>
  <c r="AF4716" i="2"/>
  <c r="AK4716" i="2" s="1"/>
  <c r="AG4716" i="2"/>
  <c r="AH4716" i="2"/>
  <c r="AI4716" i="2"/>
  <c r="AJ4716" i="2"/>
  <c r="AL4716" i="2" s="1"/>
  <c r="AF4717" i="2"/>
  <c r="AK4717" i="2" s="1"/>
  <c r="AG4717" i="2"/>
  <c r="AH4717" i="2"/>
  <c r="AL4717" i="2" s="1"/>
  <c r="AI4717" i="2"/>
  <c r="AJ4717" i="2"/>
  <c r="AF4718" i="2"/>
  <c r="AK4718" i="2"/>
  <c r="AG4718" i="2"/>
  <c r="AL4718" i="2" s="1"/>
  <c r="AH4718" i="2"/>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H4722" i="2"/>
  <c r="AI4722" i="2"/>
  <c r="AJ4722" i="2"/>
  <c r="AL4722" i="2" s="1"/>
  <c r="AF4723" i="2"/>
  <c r="AK4723" i="2" s="1"/>
  <c r="AL4723" i="2" s="1"/>
  <c r="AG4723" i="2"/>
  <c r="AH4723" i="2"/>
  <c r="AI4723" i="2"/>
  <c r="AJ4723" i="2"/>
  <c r="AF4724" i="2"/>
  <c r="AK4724" i="2" s="1"/>
  <c r="AG4724" i="2"/>
  <c r="AH4724" i="2"/>
  <c r="AI4724" i="2"/>
  <c r="AJ4724" i="2"/>
  <c r="AF4725" i="2"/>
  <c r="AK4725" i="2"/>
  <c r="AG4725" i="2"/>
  <c r="AL4725" i="2" s="1"/>
  <c r="AH4725" i="2"/>
  <c r="AI4725" i="2"/>
  <c r="AJ4725" i="2"/>
  <c r="AF4726" i="2"/>
  <c r="AK4726" i="2" s="1"/>
  <c r="AG4726" i="2"/>
  <c r="AH4726" i="2"/>
  <c r="AI4726" i="2"/>
  <c r="AJ4726" i="2"/>
  <c r="AL4726" i="2" s="1"/>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s="1"/>
  <c r="AG4735" i="2"/>
  <c r="AL4735" i="2" s="1"/>
  <c r="AH4735" i="2"/>
  <c r="AI4735" i="2"/>
  <c r="AJ4735" i="2"/>
  <c r="AF4736" i="2"/>
  <c r="AK4736" i="2"/>
  <c r="AG4736" i="2"/>
  <c r="AH4736" i="2"/>
  <c r="AL4736" i="2" s="1"/>
  <c r="AI4736" i="2"/>
  <c r="AJ4736" i="2"/>
  <c r="AF4737" i="2"/>
  <c r="AK4737" i="2"/>
  <c r="AG4737" i="2"/>
  <c r="AL4737" i="2" s="1"/>
  <c r="AH4737" i="2"/>
  <c r="AI4737" i="2"/>
  <c r="AJ4737" i="2"/>
  <c r="AF4738" i="2"/>
  <c r="AK4738" i="2" s="1"/>
  <c r="AG4738" i="2"/>
  <c r="AH4738" i="2"/>
  <c r="AI4738" i="2"/>
  <c r="AJ4738" i="2"/>
  <c r="AF4739" i="2"/>
  <c r="AK4739" i="2"/>
  <c r="AG4739" i="2"/>
  <c r="AH4739" i="2"/>
  <c r="AL4739" i="2" s="1"/>
  <c r="AI4739" i="2"/>
  <c r="AJ4739" i="2"/>
  <c r="AF4740" i="2"/>
  <c r="AK4740" i="2"/>
  <c r="AG4740" i="2"/>
  <c r="AL4740" i="2" s="1"/>
  <c r="AH4740" i="2"/>
  <c r="AI4740" i="2"/>
  <c r="AJ4740" i="2"/>
  <c r="AF4741" i="2"/>
  <c r="AK4741" i="2" s="1"/>
  <c r="AG4741" i="2"/>
  <c r="AH4741" i="2"/>
  <c r="AI4741" i="2"/>
  <c r="AJ4741" i="2"/>
  <c r="AF4742" i="2"/>
  <c r="AK4742" i="2" s="1"/>
  <c r="AG4742" i="2"/>
  <c r="AL4742" i="2"/>
  <c r="AH4742" i="2"/>
  <c r="AI4742" i="2"/>
  <c r="AJ4742" i="2"/>
  <c r="AF4743" i="2"/>
  <c r="AK4743" i="2"/>
  <c r="AG4743" i="2"/>
  <c r="AH4743" i="2"/>
  <c r="AI4743" i="2"/>
  <c r="AJ4743" i="2"/>
  <c r="AL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G4747" i="2"/>
  <c r="AL4747" i="2" s="1"/>
  <c r="AH4747" i="2"/>
  <c r="AI4747" i="2"/>
  <c r="AJ4747" i="2"/>
  <c r="AF4748" i="2"/>
  <c r="AK4748" i="2"/>
  <c r="AL4748" i="2" s="1"/>
  <c r="AG4748" i="2"/>
  <c r="AH4748" i="2"/>
  <c r="AI4748" i="2"/>
  <c r="AJ4748" i="2"/>
  <c r="AF4749" i="2"/>
  <c r="AK4749" i="2" s="1"/>
  <c r="AG4749" i="2"/>
  <c r="AH4749" i="2"/>
  <c r="AI4749" i="2"/>
  <c r="AJ4749" i="2"/>
  <c r="AF4750" i="2"/>
  <c r="AK4750" i="2" s="1"/>
  <c r="AG4750" i="2"/>
  <c r="AH4750" i="2"/>
  <c r="AI4750" i="2"/>
  <c r="AJ4750" i="2"/>
  <c r="AF4751" i="2"/>
  <c r="AK4751" i="2"/>
  <c r="AG4751" i="2"/>
  <c r="AL4751" i="2" s="1"/>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H4755" i="2"/>
  <c r="AI4755" i="2"/>
  <c r="AL4755" i="2" s="1"/>
  <c r="AJ4755" i="2"/>
  <c r="AF4756" i="2"/>
  <c r="AK4756" i="2" s="1"/>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H4760" i="2"/>
  <c r="AL4760" i="2" s="1"/>
  <c r="AI4760" i="2"/>
  <c r="AJ4760" i="2"/>
  <c r="AF4761" i="2"/>
  <c r="AK4761" i="2"/>
  <c r="AG4761" i="2"/>
  <c r="AL4761" i="2" s="1"/>
  <c r="AH4761" i="2"/>
  <c r="AI4761" i="2"/>
  <c r="AJ4761" i="2"/>
  <c r="AF4762" i="2"/>
  <c r="AK4762" i="2" s="1"/>
  <c r="AG4762" i="2"/>
  <c r="AL4762" i="2" s="1"/>
  <c r="AH4762" i="2"/>
  <c r="AI4762" i="2"/>
  <c r="AJ4762" i="2"/>
  <c r="AF4763" i="2"/>
  <c r="AK4763" i="2" s="1"/>
  <c r="AG4763" i="2"/>
  <c r="AL4763" i="2" s="1"/>
  <c r="AH4763" i="2"/>
  <c r="AI4763" i="2"/>
  <c r="AJ4763" i="2"/>
  <c r="AF4764" i="2"/>
  <c r="AK4764" i="2"/>
  <c r="AG4764" i="2"/>
  <c r="AH4764" i="2"/>
  <c r="AI4764" i="2"/>
  <c r="AJ4764" i="2"/>
  <c r="AF4765" i="2"/>
  <c r="AK4765" i="2" s="1"/>
  <c r="AG4765" i="2"/>
  <c r="AH4765" i="2"/>
  <c r="AL4765" i="2" s="1"/>
  <c r="AI4765" i="2"/>
  <c r="AJ4765" i="2"/>
  <c r="AF4766" i="2"/>
  <c r="AK4766" i="2"/>
  <c r="AG4766" i="2"/>
  <c r="AL4766" i="2" s="1"/>
  <c r="AH4766" i="2"/>
  <c r="AI4766" i="2"/>
  <c r="AJ4766" i="2"/>
  <c r="AF4767" i="2"/>
  <c r="AK4767" i="2"/>
  <c r="AG4767" i="2"/>
  <c r="AH4767" i="2"/>
  <c r="AI4767" i="2"/>
  <c r="AL4767" i="2" s="1"/>
  <c r="AJ4767" i="2"/>
  <c r="AF4768" i="2"/>
  <c r="AK4768" i="2" s="1"/>
  <c r="AG4768" i="2"/>
  <c r="AL4768" i="2" s="1"/>
  <c r="AH4768" i="2"/>
  <c r="AI4768" i="2"/>
  <c r="AJ4768" i="2"/>
  <c r="AF4769" i="2"/>
  <c r="AK4769" i="2"/>
  <c r="AL4769" i="2"/>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c r="AG4773" i="2"/>
  <c r="AH4773" i="2"/>
  <c r="AI4773" i="2"/>
  <c r="AJ4773" i="2"/>
  <c r="AL4773" i="2"/>
  <c r="AF4774" i="2"/>
  <c r="AK4774" i="2" s="1"/>
  <c r="AG4774" i="2"/>
  <c r="AH4774" i="2"/>
  <c r="AI4774" i="2"/>
  <c r="AJ4774" i="2"/>
  <c r="AF4775" i="2"/>
  <c r="AK4775" i="2" s="1"/>
  <c r="AG4775" i="2"/>
  <c r="AL4775" i="2" s="1"/>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H4781" i="2"/>
  <c r="AL4781" i="2"/>
  <c r="AI4781" i="2"/>
  <c r="AJ4781" i="2"/>
  <c r="AF4782" i="2"/>
  <c r="AK4782" i="2"/>
  <c r="AG4782" i="2"/>
  <c r="AH4782" i="2"/>
  <c r="AI4782" i="2"/>
  <c r="AJ4782" i="2"/>
  <c r="AL4782" i="2" s="1"/>
  <c r="AF4783" i="2"/>
  <c r="AK4783" i="2" s="1"/>
  <c r="AG4783" i="2"/>
  <c r="AH4783" i="2"/>
  <c r="AI4783" i="2"/>
  <c r="AJ4783" i="2"/>
  <c r="AF4784" i="2"/>
  <c r="AK4784" i="2"/>
  <c r="AG4784" i="2"/>
  <c r="AH4784" i="2"/>
  <c r="AI4784" i="2"/>
  <c r="AJ4784" i="2"/>
  <c r="AF4785" i="2"/>
  <c r="AK4785" i="2"/>
  <c r="AG4785" i="2"/>
  <c r="AH4785" i="2"/>
  <c r="AI4785" i="2"/>
  <c r="AJ4785" i="2"/>
  <c r="AF4786" i="2"/>
  <c r="AK4786" i="2" s="1"/>
  <c r="AL4786" i="2" s="1"/>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c r="AG4790" i="2"/>
  <c r="AH4790" i="2"/>
  <c r="AL4790" i="2" s="1"/>
  <c r="AI4790" i="2"/>
  <c r="AJ4790" i="2"/>
  <c r="AF4791" i="2"/>
  <c r="AK4791" i="2"/>
  <c r="AG4791" i="2"/>
  <c r="AL4791" i="2" s="1"/>
  <c r="AH4791" i="2"/>
  <c r="AI4791" i="2"/>
  <c r="AJ4791" i="2"/>
  <c r="AF4792" i="2"/>
  <c r="AK4792" i="2" s="1"/>
  <c r="AG4792" i="2"/>
  <c r="AH4792" i="2"/>
  <c r="AI4792" i="2"/>
  <c r="AJ4792" i="2"/>
  <c r="AF4793" i="2"/>
  <c r="AK4793" i="2" s="1"/>
  <c r="AG4793" i="2"/>
  <c r="AL4793" i="2" s="1"/>
  <c r="AH4793" i="2"/>
  <c r="AI4793" i="2"/>
  <c r="AJ4793" i="2"/>
  <c r="AF4794" i="2"/>
  <c r="AK4794" i="2"/>
  <c r="AG4794" i="2"/>
  <c r="AH4794" i="2"/>
  <c r="AI4794" i="2"/>
  <c r="AJ4794" i="2"/>
  <c r="AL4794" i="2" s="1"/>
  <c r="AF4795" i="2"/>
  <c r="AK4795" i="2" s="1"/>
  <c r="AL4795" i="2" s="1"/>
  <c r="AG4795" i="2"/>
  <c r="AH4795" i="2"/>
  <c r="AI4795" i="2"/>
  <c r="AJ4795" i="2"/>
  <c r="AF4796" i="2"/>
  <c r="AK4796" i="2" s="1"/>
  <c r="AG4796" i="2"/>
  <c r="AH4796" i="2"/>
  <c r="AI4796" i="2"/>
  <c r="AJ4796" i="2"/>
  <c r="AF4797" i="2"/>
  <c r="AK4797" i="2"/>
  <c r="AG4797" i="2"/>
  <c r="AH4797" i="2"/>
  <c r="AI4797" i="2"/>
  <c r="AJ4797" i="2"/>
  <c r="AF4798" i="2"/>
  <c r="AK4798" i="2"/>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L4801" i="2" s="1"/>
  <c r="AH4801" i="2"/>
  <c r="AI4801" i="2"/>
  <c r="AJ4801" i="2"/>
  <c r="AF4802" i="2"/>
  <c r="AK4802" i="2" s="1"/>
  <c r="AG4802" i="2"/>
  <c r="AH4802" i="2"/>
  <c r="AI4802" i="2"/>
  <c r="AJ4802" i="2"/>
  <c r="AL4802" i="2" s="1"/>
  <c r="AF4803" i="2"/>
  <c r="AK4803" i="2" s="1"/>
  <c r="AG4803" i="2"/>
  <c r="AH4803" i="2"/>
  <c r="AI4803" i="2"/>
  <c r="AJ4803" i="2"/>
  <c r="AF4804" i="2"/>
  <c r="AK4804" i="2"/>
  <c r="AG4804" i="2"/>
  <c r="AL4804" i="2" s="1"/>
  <c r="AH4804" i="2"/>
  <c r="AI4804" i="2"/>
  <c r="AJ4804" i="2"/>
  <c r="AF4805" i="2"/>
  <c r="AK4805" i="2"/>
  <c r="AG4805" i="2"/>
  <c r="AH4805" i="2"/>
  <c r="AI4805" i="2"/>
  <c r="AJ4805" i="2"/>
  <c r="AL4805" i="2" s="1"/>
  <c r="AF4806" i="2"/>
  <c r="AK4806" i="2" s="1"/>
  <c r="AL4806" i="2" s="1"/>
  <c r="AG4806" i="2"/>
  <c r="AH4806" i="2"/>
  <c r="AI4806" i="2"/>
  <c r="AJ4806" i="2"/>
  <c r="AF4807" i="2"/>
  <c r="AK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c r="AG4811" i="2"/>
  <c r="AH4811" i="2"/>
  <c r="AI4811" i="2"/>
  <c r="AJ4811" i="2"/>
  <c r="AF4812" i="2"/>
  <c r="AK4812" i="2" s="1"/>
  <c r="AG4812" i="2"/>
  <c r="AH4812" i="2"/>
  <c r="AI4812" i="2"/>
  <c r="AJ4812" i="2"/>
  <c r="AF4813" i="2"/>
  <c r="AK4813" i="2" s="1"/>
  <c r="AG4813" i="2"/>
  <c r="AH4813" i="2"/>
  <c r="AI4813" i="2"/>
  <c r="AJ4813" i="2"/>
  <c r="AF4814" i="2"/>
  <c r="AK4814" i="2"/>
  <c r="AG4814" i="2"/>
  <c r="AH4814" i="2"/>
  <c r="AI4814" i="2"/>
  <c r="AJ4814" i="2"/>
  <c r="AL4814" i="2" s="1"/>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L4818" i="2" s="1"/>
  <c r="AG4818" i="2"/>
  <c r="AH4818" i="2"/>
  <c r="AI4818" i="2"/>
  <c r="AJ4818" i="2"/>
  <c r="AF4819" i="2"/>
  <c r="AK4819" i="2" s="1"/>
  <c r="AL4819" i="2" s="1"/>
  <c r="AG4819" i="2"/>
  <c r="AH4819" i="2"/>
  <c r="AI4819" i="2"/>
  <c r="AJ4819" i="2"/>
  <c r="AF4820" i="2"/>
  <c r="AK4820" i="2" s="1"/>
  <c r="AG4820" i="2"/>
  <c r="AH4820" i="2"/>
  <c r="AL4820" i="2" s="1"/>
  <c r="AI4820" i="2"/>
  <c r="AJ4820" i="2"/>
  <c r="AF4821" i="2"/>
  <c r="AK4821" i="2"/>
  <c r="AG4821" i="2"/>
  <c r="AL4821" i="2" s="1"/>
  <c r="AH4821" i="2"/>
  <c r="AI4821" i="2"/>
  <c r="AJ4821" i="2"/>
  <c r="AF4822" i="2"/>
  <c r="AK4822" i="2"/>
  <c r="AG4822" i="2"/>
  <c r="AH4822" i="2"/>
  <c r="AL4822" i="2" s="1"/>
  <c r="AI4822" i="2"/>
  <c r="AJ4822" i="2"/>
  <c r="AF4823" i="2"/>
  <c r="AK4823" i="2" s="1"/>
  <c r="AG4823" i="2"/>
  <c r="AH4823" i="2"/>
  <c r="AI4823" i="2"/>
  <c r="AJ4823" i="2"/>
  <c r="AF4824" i="2"/>
  <c r="AK4824" i="2"/>
  <c r="AG4824" i="2"/>
  <c r="AH4824" i="2"/>
  <c r="AI4824" i="2"/>
  <c r="AJ4824" i="2"/>
  <c r="AF4825" i="2"/>
  <c r="AK4825" i="2"/>
  <c r="AG4825" i="2"/>
  <c r="AH4825" i="2"/>
  <c r="AI4825" i="2"/>
  <c r="AJ4825" i="2"/>
  <c r="AF4826" i="2"/>
  <c r="AK4826" i="2" s="1"/>
  <c r="AG4826" i="2"/>
  <c r="AL4826" i="2" s="1"/>
  <c r="AH4826" i="2"/>
  <c r="AI4826" i="2"/>
  <c r="AJ4826" i="2"/>
  <c r="AF4827" i="2"/>
  <c r="AK4827" i="2" s="1"/>
  <c r="AG4827" i="2"/>
  <c r="AH4827" i="2"/>
  <c r="AI4827" i="2"/>
  <c r="AJ4827" i="2"/>
  <c r="AF4828" i="2"/>
  <c r="AK4828" i="2"/>
  <c r="AG4828" i="2"/>
  <c r="AH4828" i="2"/>
  <c r="AL4828" i="2" s="1"/>
  <c r="AI4828" i="2"/>
  <c r="AJ4828" i="2"/>
  <c r="AF4829" i="2"/>
  <c r="AK4829" i="2" s="1"/>
  <c r="AG4829" i="2"/>
  <c r="AH4829" i="2"/>
  <c r="AI4829" i="2"/>
  <c r="AJ4829" i="2"/>
  <c r="AF4830" i="2"/>
  <c r="AK4830" i="2" s="1"/>
  <c r="AL4830" i="2" s="1"/>
  <c r="AG4830" i="2"/>
  <c r="AH4830" i="2"/>
  <c r="AI4830" i="2"/>
  <c r="AJ4830" i="2"/>
  <c r="AF4831" i="2"/>
  <c r="AK4831" i="2"/>
  <c r="AG4831" i="2"/>
  <c r="AH4831" i="2"/>
  <c r="AI4831" i="2"/>
  <c r="AL4831" i="2" s="1"/>
  <c r="AJ4831" i="2"/>
  <c r="AF4832" i="2"/>
  <c r="AK4832" i="2" s="1"/>
  <c r="AG4832" i="2"/>
  <c r="AH4832" i="2"/>
  <c r="AI4832" i="2"/>
  <c r="AJ4832" i="2"/>
  <c r="AF4833" i="2"/>
  <c r="AK4833" i="2"/>
  <c r="AG4833" i="2"/>
  <c r="AL4833" i="2" s="1"/>
  <c r="AH4833" i="2"/>
  <c r="AI4833" i="2"/>
  <c r="AJ4833" i="2"/>
  <c r="AF4834" i="2"/>
  <c r="AK4834" i="2" s="1"/>
  <c r="AG4834" i="2"/>
  <c r="AH4834" i="2"/>
  <c r="AI4834" i="2"/>
  <c r="AJ4834" i="2"/>
  <c r="AF4835" i="2"/>
  <c r="AK4835" i="2" s="1"/>
  <c r="AL4835" i="2" s="1"/>
  <c r="AG4835" i="2"/>
  <c r="AH4835" i="2"/>
  <c r="AI4835" i="2"/>
  <c r="AJ4835" i="2"/>
  <c r="AF4836" i="2"/>
  <c r="AK4836" i="2"/>
  <c r="AG4836" i="2"/>
  <c r="AL4836" i="2" s="1"/>
  <c r="AH4836" i="2"/>
  <c r="AI4836" i="2"/>
  <c r="AJ4836" i="2"/>
  <c r="AF4837" i="2"/>
  <c r="AK4837" i="2"/>
  <c r="AG4837" i="2"/>
  <c r="AH4837" i="2"/>
  <c r="AI4837" i="2"/>
  <c r="AJ4837" i="2"/>
  <c r="AF4838" i="2"/>
  <c r="AK4838" i="2" s="1"/>
  <c r="AG4838" i="2"/>
  <c r="AL4838" i="2" s="1"/>
  <c r="AH4838" i="2"/>
  <c r="AI4838" i="2"/>
  <c r="AJ4838" i="2"/>
  <c r="AF4839" i="2"/>
  <c r="AK4839" i="2"/>
  <c r="AG4839" i="2"/>
  <c r="AH4839" i="2"/>
  <c r="AI4839" i="2"/>
  <c r="AJ4839" i="2"/>
  <c r="AF4840" i="2"/>
  <c r="AK4840" i="2"/>
  <c r="AG4840" i="2"/>
  <c r="AH4840" i="2"/>
  <c r="AI4840" i="2"/>
  <c r="AJ4840" i="2"/>
  <c r="AF4841" i="2"/>
  <c r="AK4841" i="2" s="1"/>
  <c r="AG4841" i="2"/>
  <c r="AH4841" i="2"/>
  <c r="AI4841" i="2"/>
  <c r="AJ4841" i="2"/>
  <c r="AF4842" i="2"/>
  <c r="AK4842" i="2" s="1"/>
  <c r="AG4842" i="2"/>
  <c r="AL4842" i="2" s="1"/>
  <c r="AH4842" i="2"/>
  <c r="AI4842" i="2"/>
  <c r="AJ4842" i="2"/>
  <c r="AF4843" i="2"/>
  <c r="AK4843" i="2"/>
  <c r="AG4843" i="2"/>
  <c r="AH4843" i="2"/>
  <c r="AI4843" i="2"/>
  <c r="AJ4843" i="2"/>
  <c r="AF4844" i="2"/>
  <c r="AK4844" i="2" s="1"/>
  <c r="AG4844" i="2"/>
  <c r="AH4844" i="2"/>
  <c r="AI4844" i="2"/>
  <c r="AJ4844" i="2"/>
  <c r="AF4845" i="2"/>
  <c r="AK4845" i="2" s="1"/>
  <c r="AL4845" i="2" s="1"/>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L4848" i="2" s="1"/>
  <c r="AH4848" i="2"/>
  <c r="AI4848" i="2"/>
  <c r="AJ4848" i="2"/>
  <c r="AF4849" i="2"/>
  <c r="AK4849" i="2"/>
  <c r="AG4849" i="2"/>
  <c r="AL4849" i="2" s="1"/>
  <c r="AH4849" i="2"/>
  <c r="AI4849" i="2"/>
  <c r="AJ4849" i="2"/>
  <c r="AF4850" i="2"/>
  <c r="AK4850" i="2" s="1"/>
  <c r="AL4850" i="2" s="1"/>
  <c r="AG4850" i="2"/>
  <c r="AH4850" i="2"/>
  <c r="AI4850" i="2"/>
  <c r="AJ4850" i="2"/>
  <c r="AF4851" i="2"/>
  <c r="AK4851" i="2"/>
  <c r="AG4851" i="2"/>
  <c r="AL4851" i="2"/>
  <c r="AH4851" i="2"/>
  <c r="AI4851" i="2"/>
  <c r="AJ4851" i="2"/>
  <c r="AF4852" i="2"/>
  <c r="AK4852" i="2"/>
  <c r="AG4852" i="2"/>
  <c r="AH4852" i="2"/>
  <c r="AI4852" i="2"/>
  <c r="AJ4852" i="2"/>
  <c r="AL4852" i="2"/>
  <c r="AF4853" i="2"/>
  <c r="AK4853" i="2" s="1"/>
  <c r="AL4853" i="2" s="1"/>
  <c r="AG4853" i="2"/>
  <c r="AH4853" i="2"/>
  <c r="AI4853" i="2"/>
  <c r="AJ4853" i="2"/>
  <c r="AF4854" i="2"/>
  <c r="AK4854" i="2"/>
  <c r="AG4854" i="2"/>
  <c r="AL4854" i="2"/>
  <c r="AH4854" i="2"/>
  <c r="AI4854" i="2"/>
  <c r="AJ4854" i="2"/>
  <c r="AF4855" i="2"/>
  <c r="AK4855" i="2"/>
  <c r="AG4855" i="2"/>
  <c r="AH4855" i="2"/>
  <c r="AI4855" i="2"/>
  <c r="AJ4855" i="2"/>
  <c r="AF4856" i="2"/>
  <c r="AK4856" i="2" s="1"/>
  <c r="AL4856" i="2" s="1"/>
  <c r="AG4856" i="2"/>
  <c r="AH4856" i="2"/>
  <c r="AI4856" i="2"/>
  <c r="AJ4856" i="2"/>
  <c r="AF4857" i="2"/>
  <c r="AK4857" i="2"/>
  <c r="AG4857" i="2"/>
  <c r="AL4857" i="2"/>
  <c r="AH4857" i="2"/>
  <c r="AI4857" i="2"/>
  <c r="AJ4857" i="2"/>
  <c r="AF4858" i="2"/>
  <c r="AK4858" i="2"/>
  <c r="AG4858" i="2"/>
  <c r="AH4858" i="2"/>
  <c r="AI4858" i="2"/>
  <c r="AJ4858" i="2"/>
  <c r="AF4859" i="2"/>
  <c r="AK4859" i="2" s="1"/>
  <c r="AG4859" i="2"/>
  <c r="AH4859" i="2"/>
  <c r="AI4859" i="2"/>
  <c r="AJ4859" i="2"/>
  <c r="AF4860" i="2"/>
  <c r="AK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s="1"/>
  <c r="AG4863" i="2"/>
  <c r="AL4863" i="2" s="1"/>
  <c r="AH4863" i="2"/>
  <c r="AI4863" i="2"/>
  <c r="AJ4863" i="2"/>
  <c r="AF4864" i="2"/>
  <c r="AK4864" i="2"/>
  <c r="AG4864" i="2"/>
  <c r="AH4864" i="2"/>
  <c r="AI4864" i="2"/>
  <c r="AL4864" i="2" s="1"/>
  <c r="AJ4864" i="2"/>
  <c r="AF4865" i="2"/>
  <c r="AK4865" i="2" s="1"/>
  <c r="AG4865" i="2"/>
  <c r="AH4865" i="2"/>
  <c r="AI4865" i="2"/>
  <c r="AJ4865" i="2"/>
  <c r="AF4866" i="2"/>
  <c r="AK4866" i="2"/>
  <c r="AG4866" i="2"/>
  <c r="AL4866" i="2" s="1"/>
  <c r="AH4866" i="2"/>
  <c r="AI4866" i="2"/>
  <c r="AJ4866" i="2"/>
  <c r="AF4867" i="2"/>
  <c r="AK4867" i="2" s="1"/>
  <c r="AG4867" i="2"/>
  <c r="AH4867" i="2"/>
  <c r="AI4867" i="2"/>
  <c r="AJ4867" i="2"/>
  <c r="AF4868" i="2"/>
  <c r="AK4868" i="2" s="1"/>
  <c r="AL4868" i="2" s="1"/>
  <c r="AG4868" i="2"/>
  <c r="AH4868" i="2"/>
  <c r="AI4868" i="2"/>
  <c r="AJ4868" i="2"/>
  <c r="AF4869" i="2"/>
  <c r="AK4869" i="2"/>
  <c r="AG4869" i="2"/>
  <c r="AL4869" i="2" s="1"/>
  <c r="AH4869" i="2"/>
  <c r="AI4869" i="2"/>
  <c r="AJ4869" i="2"/>
  <c r="AF4870" i="2"/>
  <c r="AK4870" i="2"/>
  <c r="AG4870" i="2"/>
  <c r="AH4870" i="2"/>
  <c r="AL4870" i="2"/>
  <c r="AI4870" i="2"/>
  <c r="AJ4870" i="2"/>
  <c r="AF4871" i="2"/>
  <c r="AK4871" i="2"/>
  <c r="AG4871" i="2"/>
  <c r="AH4871" i="2"/>
  <c r="AI4871" i="2"/>
  <c r="AJ4871" i="2"/>
  <c r="AF4872" i="2"/>
  <c r="AK4872" i="2"/>
  <c r="AL4872" i="2" s="1"/>
  <c r="AG4872" i="2"/>
  <c r="AH4872" i="2"/>
  <c r="AI4872" i="2"/>
  <c r="AJ4872" i="2"/>
  <c r="AF4873" i="2"/>
  <c r="AK4873" i="2" s="1"/>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K4877" i="2" s="1"/>
  <c r="AL4877" i="2" s="1"/>
  <c r="AG4877" i="2"/>
  <c r="AH4877" i="2"/>
  <c r="AI4877" i="2"/>
  <c r="AJ4877" i="2"/>
  <c r="AF4878" i="2"/>
  <c r="AK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L4881" i="2" s="1"/>
  <c r="AH4881" i="2"/>
  <c r="AI4881" i="2"/>
  <c r="AJ4881" i="2"/>
  <c r="AF4882" i="2"/>
  <c r="AK4882" i="2"/>
  <c r="AG4882" i="2"/>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L4885" i="2" s="1"/>
  <c r="AF4886" i="2"/>
  <c r="AK4886" i="2" s="1"/>
  <c r="AG4886" i="2"/>
  <c r="AH4886" i="2"/>
  <c r="AI4886" i="2"/>
  <c r="AJ4886" i="2"/>
  <c r="AF4887" i="2"/>
  <c r="AK4887" i="2"/>
  <c r="AG4887" i="2"/>
  <c r="AL4887" i="2" s="1"/>
  <c r="AH4887" i="2"/>
  <c r="AI4887" i="2"/>
  <c r="AJ4887" i="2"/>
  <c r="AF4888" i="2"/>
  <c r="AK4888" i="2"/>
  <c r="AG4888" i="2"/>
  <c r="AH4888" i="2"/>
  <c r="AL4888" i="2" s="1"/>
  <c r="AI4888" i="2"/>
  <c r="AJ4888" i="2"/>
  <c r="AF4889" i="2"/>
  <c r="AK4889" i="2" s="1"/>
  <c r="AG4889" i="2"/>
  <c r="AH4889" i="2"/>
  <c r="AI4889" i="2"/>
  <c r="AL4889" i="2" s="1"/>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H4898" i="2"/>
  <c r="AI4898" i="2"/>
  <c r="AJ4898" i="2"/>
  <c r="AF4899" i="2"/>
  <c r="AK4899" i="2"/>
  <c r="AG4899" i="2"/>
  <c r="AH4899" i="2"/>
  <c r="AI4899" i="2"/>
  <c r="AJ4899" i="2"/>
  <c r="AF4900" i="2"/>
  <c r="AK4900" i="2"/>
  <c r="AG4900" i="2"/>
  <c r="AH4900" i="2"/>
  <c r="AI4900" i="2"/>
  <c r="AJ4900" i="2"/>
  <c r="AF4901" i="2"/>
  <c r="AK4901" i="2"/>
  <c r="AL4901" i="2" s="1"/>
  <c r="AG4901" i="2"/>
  <c r="AH4901" i="2"/>
  <c r="AI4901" i="2"/>
  <c r="AJ4901" i="2"/>
  <c r="AF4902" i="2"/>
  <c r="AK4902" i="2"/>
  <c r="AG4902" i="2"/>
  <c r="AH4902" i="2"/>
  <c r="AL4902" i="2" s="1"/>
  <c r="AI4902" i="2"/>
  <c r="AJ4902" i="2"/>
  <c r="AF4903" i="2"/>
  <c r="AK4903" i="2"/>
  <c r="AG4903" i="2"/>
  <c r="AH4903" i="2"/>
  <c r="AI4903" i="2"/>
  <c r="AJ4903" i="2"/>
  <c r="AF4904" i="2"/>
  <c r="AK4904" i="2"/>
  <c r="AG4904" i="2"/>
  <c r="AH4904" i="2"/>
  <c r="AI4904" i="2"/>
  <c r="AJ4904" i="2"/>
  <c r="AF4905" i="2"/>
  <c r="AK4905" i="2" s="1"/>
  <c r="AG4905" i="2"/>
  <c r="AH4905" i="2"/>
  <c r="AI4905" i="2"/>
  <c r="AJ4905" i="2"/>
  <c r="AF4906" i="2"/>
  <c r="AK4906" i="2" s="1"/>
  <c r="AG4906" i="2"/>
  <c r="AH4906" i="2"/>
  <c r="AI4906" i="2"/>
  <c r="AJ4906" i="2"/>
  <c r="AF4907" i="2"/>
  <c r="AK4907" i="2" s="1"/>
  <c r="AG4907" i="2"/>
  <c r="AL4907" i="2" s="1"/>
  <c r="AH4907" i="2"/>
  <c r="AI4907" i="2"/>
  <c r="AJ4907" i="2"/>
  <c r="AF4908" i="2"/>
  <c r="AK4908" i="2"/>
  <c r="AG4908" i="2"/>
  <c r="AH4908" i="2"/>
  <c r="AI4908" i="2"/>
  <c r="AJ4908" i="2"/>
  <c r="AL4908" i="2" s="1"/>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c r="AG4912" i="2"/>
  <c r="AL4912" i="2" s="1"/>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H4916" i="2"/>
  <c r="AI4916" i="2"/>
  <c r="AJ4916" i="2"/>
  <c r="AL4916" i="2" s="1"/>
  <c r="AF4917" i="2"/>
  <c r="AK4917" i="2" s="1"/>
  <c r="AG4917" i="2"/>
  <c r="AH4917" i="2"/>
  <c r="AI4917" i="2"/>
  <c r="AJ4917" i="2"/>
  <c r="AF4918" i="2"/>
  <c r="AK4918" i="2"/>
  <c r="AG4918" i="2"/>
  <c r="AH4918" i="2"/>
  <c r="AL4918" i="2" s="1"/>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s="1"/>
  <c r="AG4928" i="2"/>
  <c r="AH4928" i="2"/>
  <c r="AI4928" i="2"/>
  <c r="AJ4928" i="2"/>
  <c r="AF4929" i="2"/>
  <c r="AK4929" i="2"/>
  <c r="AG4929" i="2"/>
  <c r="AL4929" i="2" s="1"/>
  <c r="AH4929" i="2"/>
  <c r="AI4929" i="2"/>
  <c r="AJ4929" i="2"/>
  <c r="AF4930" i="2"/>
  <c r="AK4930" i="2"/>
  <c r="AG4930" i="2"/>
  <c r="AH4930" i="2"/>
  <c r="AI4930" i="2"/>
  <c r="AJ4930" i="2"/>
  <c r="AL4930" i="2"/>
  <c r="AF4931" i="2"/>
  <c r="AK4931" i="2" s="1"/>
  <c r="AL4931" i="2" s="1"/>
  <c r="AG4931" i="2"/>
  <c r="AH4931" i="2"/>
  <c r="AI4931" i="2"/>
  <c r="AJ4931" i="2"/>
  <c r="AF4932" i="2"/>
  <c r="AK4932" i="2"/>
  <c r="AG4932" i="2"/>
  <c r="AL4932" i="2"/>
  <c r="AH4932" i="2"/>
  <c r="AI4932" i="2"/>
  <c r="AJ4932" i="2"/>
  <c r="AF4933" i="2"/>
  <c r="AK4933" i="2"/>
  <c r="AG4933" i="2"/>
  <c r="AH4933" i="2"/>
  <c r="AI4933" i="2"/>
  <c r="AJ4933" i="2"/>
  <c r="AL4933" i="2" s="1"/>
  <c r="AF4934" i="2"/>
  <c r="AK4934" i="2" s="1"/>
  <c r="AG4934" i="2"/>
  <c r="AL4934" i="2" s="1"/>
  <c r="AH4934" i="2"/>
  <c r="AI4934" i="2"/>
  <c r="AJ4934" i="2"/>
  <c r="AF4935" i="2"/>
  <c r="AK4935" i="2" s="1"/>
  <c r="AG4935" i="2"/>
  <c r="AH4935" i="2"/>
  <c r="AI4935" i="2"/>
  <c r="AJ4935" i="2"/>
  <c r="AF4936" i="2"/>
  <c r="AK4936" i="2"/>
  <c r="AG4936" i="2"/>
  <c r="AH4936" i="2"/>
  <c r="AI4936" i="2"/>
  <c r="AJ4936" i="2"/>
  <c r="AF4937" i="2"/>
  <c r="AK4937" i="2"/>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H4941" i="2"/>
  <c r="AL4941" i="2" s="1"/>
  <c r="AI4941" i="2"/>
  <c r="AJ4941" i="2"/>
  <c r="AF4942" i="2"/>
  <c r="AK4942" i="2" s="1"/>
  <c r="AG4942" i="2"/>
  <c r="AH4942" i="2"/>
  <c r="AI4942" i="2"/>
  <c r="AJ4942" i="2"/>
  <c r="AF4943" i="2"/>
  <c r="AK4943" i="2"/>
  <c r="AG4943" i="2"/>
  <c r="AL4943" i="2" s="1"/>
  <c r="AH4943" i="2"/>
  <c r="AI4943" i="2"/>
  <c r="AJ4943" i="2"/>
  <c r="AF4944" i="2"/>
  <c r="AK4944" i="2"/>
  <c r="AG4944" i="2"/>
  <c r="AH4944" i="2"/>
  <c r="AI4944" i="2"/>
  <c r="AJ4944" i="2"/>
  <c r="AL4944" i="2" s="1"/>
  <c r="AF4945" i="2"/>
  <c r="AK4945" i="2" s="1"/>
  <c r="AG4945" i="2"/>
  <c r="AL4945" i="2" s="1"/>
  <c r="AH4945" i="2"/>
  <c r="AI4945" i="2"/>
  <c r="AJ4945" i="2"/>
  <c r="AF4946" i="2"/>
  <c r="AK4946" i="2"/>
  <c r="AG4946" i="2"/>
  <c r="AL4946" i="2"/>
  <c r="AH4946" i="2"/>
  <c r="AI4946" i="2"/>
  <c r="AJ4946" i="2"/>
  <c r="AF4947" i="2"/>
  <c r="AK4947" i="2"/>
  <c r="AG4947" i="2"/>
  <c r="AH4947" i="2"/>
  <c r="AI4947" i="2"/>
  <c r="AJ4947" i="2"/>
  <c r="AF4948" i="2"/>
  <c r="AK4948" i="2" s="1"/>
  <c r="AL4948" i="2" s="1"/>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G4953" i="2"/>
  <c r="AH4953" i="2"/>
  <c r="AI4953" i="2"/>
  <c r="AJ4953" i="2"/>
  <c r="AF4954" i="2"/>
  <c r="AK4954" i="2"/>
  <c r="AG4954" i="2"/>
  <c r="AL4954" i="2" s="1"/>
  <c r="AH4954" i="2"/>
  <c r="AI4954" i="2"/>
  <c r="AJ4954" i="2"/>
  <c r="AF4955" i="2"/>
  <c r="AK4955" i="2" s="1"/>
  <c r="AG4955" i="2"/>
  <c r="AH4955" i="2"/>
  <c r="AI4955" i="2"/>
  <c r="AJ4955" i="2"/>
  <c r="AF4956" i="2"/>
  <c r="AK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s="1"/>
  <c r="AL4959" i="2" s="1"/>
  <c r="AG4959" i="2"/>
  <c r="AH4959" i="2"/>
  <c r="AI4959" i="2"/>
  <c r="AJ4959" i="2"/>
  <c r="AF4960" i="2"/>
  <c r="AK4960" i="2"/>
  <c r="AG4960" i="2"/>
  <c r="AH4960" i="2"/>
  <c r="AL4960" i="2" s="1"/>
  <c r="AI4960" i="2"/>
  <c r="AJ4960" i="2"/>
  <c r="AF4961" i="2"/>
  <c r="AK4961" i="2" s="1"/>
  <c r="AL4961" i="2" s="1"/>
  <c r="AG4961" i="2"/>
  <c r="AH4961" i="2"/>
  <c r="AI4961" i="2"/>
  <c r="AJ4961" i="2"/>
  <c r="AF4962" i="2"/>
  <c r="AK4962" i="2"/>
  <c r="AG4962" i="2"/>
  <c r="AL4962" i="2" s="1"/>
  <c r="AH4962" i="2"/>
  <c r="AI4962" i="2"/>
  <c r="AJ4962" i="2"/>
  <c r="AF4963" i="2"/>
  <c r="AK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L4966" i="2" s="1"/>
  <c r="AF4967" i="2"/>
  <c r="AK4967" i="2" s="1"/>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L4970" i="2" s="1"/>
  <c r="AI4970" i="2"/>
  <c r="AJ4970" i="2"/>
  <c r="AF4971" i="2"/>
  <c r="AK4971" i="2"/>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I4975" i="2"/>
  <c r="AL4975" i="2" s="1"/>
  <c r="AJ4975" i="2"/>
  <c r="AF4976" i="2"/>
  <c r="AK4976" i="2" s="1"/>
  <c r="AL4976" i="2" s="1"/>
  <c r="AG4976" i="2"/>
  <c r="AH4976" i="2"/>
  <c r="AI4976" i="2"/>
  <c r="AJ4976" i="2"/>
  <c r="AF4977" i="2"/>
  <c r="AK4977" i="2" s="1"/>
  <c r="AG4977" i="2"/>
  <c r="AL4977" i="2"/>
  <c r="AH4977" i="2"/>
  <c r="AI4977" i="2"/>
  <c r="AJ4977" i="2"/>
  <c r="AF4978" i="2"/>
  <c r="AK4978" i="2"/>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L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c r="AG4986" i="2"/>
  <c r="AH4986" i="2"/>
  <c r="AL4986" i="2" s="1"/>
  <c r="AI4986" i="2"/>
  <c r="AJ4986" i="2"/>
  <c r="AF4987" i="2"/>
  <c r="AK4987" i="2"/>
  <c r="AG4987" i="2"/>
  <c r="AH4987" i="2"/>
  <c r="AI4987" i="2"/>
  <c r="AJ4987" i="2"/>
  <c r="AL4987" i="2"/>
  <c r="AF4988" i="2"/>
  <c r="AK4988" i="2" s="1"/>
  <c r="AG4988" i="2"/>
  <c r="AH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s="1"/>
  <c r="AG4992" i="2"/>
  <c r="AH4992" i="2"/>
  <c r="AL4992" i="2" s="1"/>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F4996" i="2"/>
  <c r="AK4996" i="2"/>
  <c r="AG4996" i="2"/>
  <c r="AH4996" i="2"/>
  <c r="AI4996" i="2"/>
  <c r="AJ4996" i="2"/>
  <c r="AL4996" i="2" s="1"/>
  <c r="AF4997" i="2"/>
  <c r="AK4997" i="2" s="1"/>
  <c r="AL4997" i="2" s="1"/>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49" i="2"/>
  <c r="AL3717" i="2"/>
  <c r="AL3666" i="2"/>
  <c r="AL3589"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27" i="2"/>
  <c r="AL3216"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48" i="2"/>
  <c r="AL3642" i="2"/>
  <c r="AL3635" i="2"/>
  <c r="AL3584" i="2"/>
  <c r="AL3539"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195"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2" i="2"/>
  <c r="AL3675" i="2"/>
  <c r="AL3656" i="2"/>
  <c r="AL3650" i="2"/>
  <c r="AL3643" i="2"/>
  <c r="AL3637" i="2"/>
  <c r="AL3618" i="2"/>
  <c r="AL3592"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57" i="2"/>
  <c r="AL3649" i="2"/>
  <c r="AL3641" i="2"/>
  <c r="AL3633" i="2"/>
  <c r="AL3617" i="2"/>
  <c r="AL3609" i="2"/>
  <c r="AL3593" i="2"/>
  <c r="AL3585" i="2"/>
  <c r="AL3577" i="2"/>
  <c r="AL3569" i="2"/>
  <c r="AL3561" i="2"/>
  <c r="AL3553" i="2"/>
  <c r="AL3545" i="2"/>
  <c r="AL3537" i="2"/>
  <c r="AL352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33" i="2"/>
  <c r="AL3225" i="2"/>
  <c r="AL3217" i="2"/>
  <c r="AL3201" i="2"/>
  <c r="AL3185"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37" i="2"/>
  <c r="AL3229" i="2"/>
  <c r="AL3213" i="2"/>
  <c r="AL3205" i="2"/>
  <c r="AL3197" i="2"/>
  <c r="AL3181"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78"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5" i="2"/>
  <c r="AM15" i="2"/>
  <c r="AL4551" i="2"/>
  <c r="AL4329" i="2"/>
  <c r="AL4268" i="2"/>
  <c r="AL4200" i="2"/>
  <c r="AL4092" i="2"/>
  <c r="AL4085" i="2"/>
  <c r="AL4062" i="2"/>
  <c r="AL4337" i="2"/>
  <c r="AL4333" i="2"/>
  <c r="AL4293" i="2"/>
  <c r="AL4341" i="2"/>
  <c r="AL4331" i="2"/>
  <c r="AL4308" i="2"/>
  <c r="AL4291" i="2"/>
  <c r="AL4263" i="2"/>
  <c r="AL4235" i="2"/>
  <c r="AL4197" i="2"/>
  <c r="AL4184" i="2"/>
  <c r="AL4133" i="2"/>
  <c r="AL4120" i="2"/>
  <c r="AL4107" i="2"/>
  <c r="AL4076" i="2"/>
  <c r="AL4069" i="2"/>
  <c r="AL4064" i="2"/>
  <c r="AL4059" i="2"/>
  <c r="AL4027" i="2"/>
  <c r="AL3996" i="2"/>
  <c r="AL4353" i="2"/>
  <c r="AL4312" i="2"/>
  <c r="AL4201" i="2"/>
  <c r="AL4144" i="2"/>
  <c r="AL4137" i="2"/>
  <c r="AL4067" i="2"/>
  <c r="AL4060" i="2"/>
  <c r="AL4049" i="2"/>
  <c r="AL4028" i="2"/>
  <c r="AL4357" i="2"/>
  <c r="AL4316" i="2"/>
  <c r="AL4305" i="2"/>
  <c r="AL4284" i="2"/>
  <c r="AL4245" i="2"/>
  <c r="AL4188" i="2"/>
  <c r="AL4181" i="2"/>
  <c r="AL4159" i="2"/>
  <c r="AL4124" i="2"/>
  <c r="AL4000" i="2"/>
  <c r="AL3984" i="2"/>
  <c r="AL3968" i="2"/>
  <c r="AL4355" i="2"/>
  <c r="AL4243" i="2"/>
  <c r="AL4185" i="2"/>
  <c r="AL4183" i="2"/>
  <c r="AL4121" i="2"/>
  <c r="AL4115" i="2"/>
  <c r="AL4040" i="2"/>
  <c r="AL4469" i="2"/>
  <c r="AL4401" i="2"/>
  <c r="AL4363" i="2"/>
  <c r="AL4307" i="2"/>
  <c r="AL4281" i="2"/>
  <c r="AL4279" i="2"/>
  <c r="AL4216" i="2"/>
  <c r="AL4209" i="2"/>
  <c r="AL4207" i="2"/>
  <c r="AL4152" i="2"/>
  <c r="AL4139" i="2"/>
  <c r="AL4048" i="2"/>
  <c r="AL4020" i="2"/>
  <c r="AL4004" i="2"/>
  <c r="AL3988" i="2"/>
  <c r="AL3972" i="2"/>
  <c r="AL3930" i="2"/>
  <c r="AL3926" i="2"/>
  <c r="AL3893" i="2"/>
  <c r="AL3849" i="2"/>
  <c r="AL3842" i="2"/>
  <c r="AL3829" i="2"/>
  <c r="AL3822" i="2"/>
  <c r="AL3820"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4054" i="2"/>
  <c r="AL4038" i="2"/>
  <c r="AL4022" i="2"/>
  <c r="AL4010" i="2"/>
  <c r="AL4006" i="2"/>
  <c r="AL4002" i="2"/>
  <c r="AL3998" i="2"/>
  <c r="AL3990" i="2"/>
  <c r="AL3978" i="2"/>
  <c r="AL3970" i="2"/>
  <c r="AL3966"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199" i="2"/>
  <c r="AL3175" i="2"/>
  <c r="AL4050" i="2"/>
  <c r="AL3945"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829" i="2"/>
  <c r="AL4720" i="2"/>
  <c r="AL4583" i="2"/>
  <c r="AL4272" i="2"/>
  <c r="AL4215" i="2"/>
  <c r="AL4169" i="2"/>
  <c r="AL4157" i="2"/>
  <c r="AL4109" i="2"/>
  <c r="AL4086" i="2"/>
  <c r="AL3935" i="2"/>
  <c r="AL3897" i="2"/>
  <c r="AL3803" i="2"/>
  <c r="AL3776" i="2"/>
  <c r="AL4605" i="2"/>
  <c r="AL4221" i="2"/>
  <c r="AL4135" i="2"/>
  <c r="AL3862" i="2"/>
  <c r="AL4126" i="2"/>
  <c r="AL4455" i="2"/>
  <c r="AL4335" i="2"/>
  <c r="AL4326" i="2"/>
  <c r="AL4436" i="2"/>
  <c r="AL4226" i="2"/>
  <c r="AL4219" i="2"/>
  <c r="AL4130" i="2"/>
  <c r="AL3812" i="2"/>
  <c r="AL3777" i="2"/>
  <c r="AL4378"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225" i="2"/>
  <c r="AL4141" i="2"/>
  <c r="AL4900" i="2"/>
  <c r="AL4599" i="2"/>
  <c r="AL4459" i="2"/>
  <c r="AL4433" i="2"/>
  <c r="AL4303" i="2"/>
  <c r="AL3843" i="2"/>
  <c r="AL4824" i="2"/>
  <c r="AL4501" i="2"/>
  <c r="AL4466" i="2"/>
  <c r="AL4756" i="2"/>
  <c r="AL4738" i="2"/>
  <c r="AL4734" i="2"/>
  <c r="AL4454" i="2"/>
  <c r="AL4431" i="2"/>
  <c r="AL4345" i="2"/>
  <c r="AL4338" i="2"/>
  <c r="AL4007" i="2"/>
  <c r="AL3986" i="2"/>
  <c r="AL4981" i="2"/>
  <c r="AL4684" i="2"/>
  <c r="AL4633" i="2"/>
  <c r="AL4549" i="2"/>
  <c r="AL4461" i="2"/>
  <c r="AL4365" i="2"/>
  <c r="AL4166" i="2"/>
  <c r="AL4142" i="2"/>
  <c r="AL3824" i="2"/>
  <c r="AL3659" i="2"/>
  <c r="AL4238" i="2"/>
  <c r="AL4094" i="2"/>
  <c r="AL4017" i="2"/>
  <c r="AL3855" i="2"/>
  <c r="AL3808" i="2"/>
  <c r="AL4428" i="2"/>
  <c r="AL4029" i="2"/>
  <c r="AL3887" i="2"/>
  <c r="AL3736" i="2"/>
  <c r="AL4343" i="2"/>
  <c r="AL4261" i="2"/>
  <c r="AL4091" i="2"/>
  <c r="AL4044" i="2"/>
  <c r="AL4033" i="2"/>
  <c r="AL3991" i="2"/>
  <c r="AL3904" i="2"/>
  <c r="AL3869" i="2"/>
  <c r="AL4327" i="2"/>
  <c r="AL4202" i="2"/>
  <c r="AL4098" i="2"/>
  <c r="AL3944" i="2"/>
  <c r="AL4374" i="2"/>
  <c r="AL4348" i="2"/>
  <c r="AL4344" i="2"/>
  <c r="AL4317" i="2"/>
  <c r="AL4150" i="2"/>
  <c r="AL4127" i="2"/>
  <c r="AL4003" i="2"/>
  <c r="AL3934" i="2"/>
  <c r="AL3918" i="2"/>
  <c r="AL3785" i="2"/>
  <c r="AL4191" i="2"/>
  <c r="AL4160" i="2"/>
  <c r="AL4128" i="2"/>
  <c r="AL4061"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64" i="2"/>
  <c r="AL4173" i="2"/>
  <c r="AL4123" i="2"/>
  <c r="AL4089" i="2"/>
  <c r="AL4056" i="2"/>
  <c r="AL4045" i="2"/>
  <c r="AL3983" i="2"/>
  <c r="AL3961" i="2"/>
  <c r="AL3895" i="2"/>
  <c r="AL3863" i="2"/>
  <c r="AL3815" i="2"/>
  <c r="AL3805" i="2"/>
  <c r="AL3800" i="2"/>
  <c r="AL3713" i="2"/>
  <c r="AL3699" i="2"/>
  <c r="AL3519" i="2"/>
  <c r="AL3226" i="2"/>
  <c r="AL4102" i="2"/>
  <c r="AL4057" i="2"/>
  <c r="AL3951" i="2"/>
  <c r="AL3931" i="2"/>
  <c r="AL3911" i="2"/>
  <c r="AL3889" i="2"/>
  <c r="AL3807" i="2"/>
  <c r="AL3793" i="2"/>
  <c r="AL3748" i="2"/>
  <c r="AL3745" i="2"/>
  <c r="AL3703" i="2"/>
  <c r="AL3578" i="2"/>
  <c r="AL4286" i="2"/>
  <c r="AL4138" i="2"/>
  <c r="AL4082" i="2"/>
  <c r="AL4071" i="2"/>
  <c r="AL4001" i="2"/>
  <c r="AL3977"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20" i="2"/>
  <c r="AL4482" i="2"/>
  <c r="AL4388" i="2"/>
  <c r="AL4917" i="2"/>
  <c r="AL4601" i="2"/>
  <c r="AL4591" i="2"/>
  <c r="AL4332" i="2"/>
  <c r="AL4750" i="2"/>
  <c r="AL4518" i="2"/>
  <c r="AL4837" i="2"/>
  <c r="AL4629" i="2"/>
  <c r="AL4487" i="2"/>
  <c r="AL4453" i="2"/>
  <c r="AL4233" i="2"/>
  <c r="AL4688" i="2"/>
  <c r="AL4516" i="2"/>
  <c r="AL4503" i="2"/>
  <c r="AL4443" i="2"/>
  <c r="AL4253" i="2"/>
  <c r="AL4171" i="2"/>
  <c r="AL4154"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205" i="2"/>
  <c r="AL3997" i="2"/>
  <c r="AL3882" i="2"/>
  <c r="AL3876" i="2"/>
  <c r="AL3859" i="2"/>
  <c r="AL3791" i="2"/>
  <c r="AL3608" i="2"/>
  <c r="AL4384" i="2"/>
  <c r="AL4231" i="2"/>
  <c r="AL4078" i="2"/>
  <c r="AL4008" i="2"/>
  <c r="AL3905" i="2"/>
  <c r="AL3870" i="2"/>
  <c r="AL3823" i="2"/>
  <c r="AL3794" i="2"/>
  <c r="AL4377" i="2"/>
  <c r="AL3564" i="2"/>
  <c r="AL3435" i="2"/>
  <c r="AL4429" i="2"/>
  <c r="AL434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8" i="2"/>
  <c r="AL4936" i="2"/>
  <c r="AL4797" i="2"/>
  <c r="AL4649" i="2"/>
  <c r="AL4597" i="2"/>
  <c r="AL4890" i="2"/>
  <c r="AL4858" i="2"/>
  <c r="AL4704" i="2"/>
  <c r="AL4785" i="2"/>
  <c r="AL4698" i="2"/>
  <c r="AL4895" i="2"/>
  <c r="AL4892" i="2"/>
  <c r="AL4964"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3880" i="2"/>
  <c r="AL3877" i="2"/>
  <c r="AL3787" i="2"/>
  <c r="AL3563" i="2"/>
  <c r="AL4399" i="2"/>
  <c r="AL4165" i="2"/>
  <c r="AL4134" i="2"/>
  <c r="AL4053" i="2"/>
  <c r="AL4037" i="2"/>
  <c r="AL3957" i="2"/>
  <c r="AL4379" i="2"/>
  <c r="AL4319" i="2"/>
  <c r="AL4315"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89" i="2"/>
  <c r="AL4840" i="2"/>
  <c r="AL4779" i="2"/>
  <c r="AL4771" i="2"/>
  <c r="AL4733" i="2"/>
  <c r="AL4719" i="2"/>
  <c r="AL4556" i="2"/>
  <c r="AL4537" i="2"/>
  <c r="AL4906" i="2"/>
  <c r="AL4903" i="2"/>
  <c r="AL4896" i="2"/>
  <c r="AL4874" i="2"/>
  <c r="AL4871" i="2"/>
  <c r="AL4817" i="2"/>
  <c r="AL4772" i="2"/>
  <c r="AL4730" i="2"/>
  <c r="AL4647" i="2"/>
  <c r="AL4588" i="2"/>
  <c r="AL4582" i="2"/>
  <c r="AL4923" i="2"/>
  <c r="AL4843" i="2"/>
  <c r="AL4825" i="2"/>
  <c r="AL4811" i="2"/>
  <c r="AL4758" i="2"/>
  <c r="AL4675" i="2"/>
  <c r="AL4604" i="2"/>
  <c r="AL4594" i="2"/>
  <c r="AL4550" i="2"/>
  <c r="AL4506" i="2"/>
  <c r="AL4911" i="2"/>
  <c r="AL4894" i="2"/>
  <c r="AL4980" i="2"/>
  <c r="AL4956" i="2"/>
  <c r="AL4904" i="2"/>
  <c r="AL4884" i="2"/>
  <c r="AL4686" i="2"/>
  <c r="AL4574" i="2"/>
  <c r="AL4548" i="2"/>
  <c r="AL4522" i="2"/>
  <c r="AL4449" i="2"/>
  <c r="AL4953" i="2"/>
  <c r="AL4879" i="2"/>
  <c r="AL4770" i="2"/>
  <c r="AL4619" i="2"/>
  <c r="AL4577" i="2"/>
  <c r="AL4555" i="2"/>
  <c r="AL4650" i="2"/>
  <c r="AL4576" i="2"/>
  <c r="AL4572" i="2"/>
  <c r="AL4554" i="2"/>
  <c r="AL4404" i="2"/>
  <c r="AL4394" i="2"/>
  <c r="AL4375" i="2"/>
  <c r="AL4254" i="2"/>
  <c r="AL4632" i="2"/>
  <c r="AL4543" i="2"/>
  <c r="AL4370" i="2"/>
  <c r="AL4671" i="2"/>
  <c r="AL4500" i="2"/>
  <c r="AL4446" i="2"/>
  <c r="AL4419" i="2"/>
  <c r="AL4382" i="2"/>
  <c r="AL4367" i="2"/>
  <c r="AL4362" i="2"/>
  <c r="AL4643" i="2"/>
  <c r="AL4552" i="2"/>
  <c r="AL4442" i="2"/>
  <c r="AL4427" i="2"/>
  <c r="AL4416" i="2"/>
  <c r="AL4413" i="2"/>
  <c r="AL4288" i="2"/>
  <c r="AL4566" i="2"/>
  <c r="AL4240" i="2"/>
  <c r="AL4679" i="2"/>
  <c r="AL4592" i="2"/>
  <c r="AL4470" i="2"/>
  <c r="AL4100" i="2"/>
  <c r="AL4486" i="2"/>
  <c r="AL4400" i="2"/>
  <c r="AL4381" i="2"/>
  <c r="AL4325" i="2"/>
  <c r="AL4302" i="2"/>
  <c r="AL4290" i="2"/>
  <c r="AL4210" i="2"/>
  <c r="AL4112"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8" i="2" l="1"/>
  <c r="AM18" i="2" s="1"/>
  <c r="AL17" i="2"/>
  <c r="AM17" i="2" s="1"/>
  <c r="AL16" i="2"/>
  <c r="AM16" i="2" s="1"/>
  <c r="AL14" i="2"/>
  <c r="AM14" i="2" s="1"/>
  <c r="AL13" i="2"/>
  <c r="AM13" i="2" s="1"/>
  <c r="AL12" i="2"/>
  <c r="AM12" i="2" s="1"/>
  <c r="AL7" i="2"/>
  <c r="AM7" i="2" s="1"/>
  <c r="AL11" i="2"/>
  <c r="AM11" i="2" s="1"/>
  <c r="AL10" i="2"/>
  <c r="AM10" i="2" s="1"/>
  <c r="AL9" i="2"/>
  <c r="AM9" i="2" s="1"/>
  <c r="AL4988" i="2"/>
  <c r="AL4865" i="2"/>
  <c r="AL4967" i="2"/>
  <c r="AL4963" i="2"/>
  <c r="AL4952" i="2"/>
  <c r="AL4940" i="2"/>
  <c r="AL4915" i="2"/>
  <c r="AL4867" i="2"/>
  <c r="AL4839" i="2"/>
  <c r="AL4803" i="2"/>
  <c r="AL4783" i="2"/>
  <c r="AL4753" i="2"/>
  <c r="AL4673" i="2"/>
  <c r="AL4626" i="2"/>
  <c r="AL4624" i="2"/>
  <c r="AL4513" i="2"/>
  <c r="AL4352" i="2"/>
  <c r="AL4774" i="2"/>
  <c r="AL4589" i="2"/>
  <c r="AL4494" i="2"/>
  <c r="AL4905" i="2"/>
  <c r="AL4749" i="2"/>
  <c r="AL4699" i="2"/>
  <c r="AL4669" i="2"/>
  <c r="AL4665" i="2"/>
  <c r="AL4613" i="2"/>
  <c r="AL4558" i="2"/>
  <c r="AL4314" i="2"/>
  <c r="AL4278" i="2"/>
  <c r="AL4182" i="2"/>
  <c r="AL4995" i="2"/>
  <c r="AL4972" i="2"/>
  <c r="AL4955" i="2"/>
  <c r="AL4886" i="2"/>
  <c r="AL4859" i="2"/>
  <c r="AL4844" i="2"/>
  <c r="AL4724" i="2"/>
  <c r="AL4545" i="2"/>
  <c r="AL4991" i="2"/>
  <c r="AL4813" i="2"/>
  <c r="AL4784" i="2"/>
  <c r="AL4754" i="2"/>
  <c r="AL4618" i="2"/>
  <c r="AL4561" i="2"/>
  <c r="AL4527" i="2"/>
  <c r="AL4512" i="2"/>
  <c r="AL4415" i="2"/>
  <c r="AL4921" i="2"/>
  <c r="AL4898" i="2"/>
  <c r="AL4882" i="2"/>
  <c r="AL4873" i="2"/>
  <c r="AL4855" i="2"/>
  <c r="AL4777" i="2"/>
  <c r="AL4700" i="2"/>
  <c r="AL4641" i="2"/>
  <c r="AL4627" i="2"/>
  <c r="AL4536" i="2"/>
  <c r="AL4499" i="2"/>
  <c r="AL4471" i="2"/>
  <c r="AL4445" i="2"/>
  <c r="AL4705" i="2"/>
  <c r="AL4447" i="2"/>
  <c r="AL4409" i="2"/>
  <c r="AL4969" i="2"/>
  <c r="AL4947" i="2"/>
  <c r="AL4935" i="2"/>
  <c r="AL4841" i="2"/>
  <c r="AL4827" i="2"/>
  <c r="AL4807" i="2"/>
  <c r="AL4787" i="2"/>
  <c r="AL4764" i="2"/>
  <c r="AL4746" i="2"/>
  <c r="AL4727" i="2"/>
  <c r="AL4712" i="2"/>
  <c r="AL4691" i="2"/>
  <c r="AL4655" i="2"/>
  <c r="AL4610" i="2"/>
  <c r="AL4608" i="2"/>
  <c r="AL4600" i="2"/>
  <c r="AL4544" i="2"/>
  <c r="AL4535" i="2"/>
  <c r="AL4371" i="2"/>
  <c r="AL4949" i="2"/>
  <c r="AL4942" i="2"/>
  <c r="AL4938" i="2"/>
  <c r="AL4928" i="2"/>
  <c r="AL4924" i="2"/>
  <c r="AL4899" i="2"/>
  <c r="AL4878" i="2"/>
  <c r="AL4860" i="2"/>
  <c r="AL4834" i="2"/>
  <c r="AL4832" i="2"/>
  <c r="AL4823" i="2"/>
  <c r="AL4816" i="2"/>
  <c r="AL4812" i="2"/>
  <c r="AL4799" i="2"/>
  <c r="AL4796" i="2"/>
  <c r="AL4792" i="2"/>
  <c r="AL4741" i="2"/>
  <c r="AL4710" i="2"/>
  <c r="AL4682" i="2"/>
  <c r="AL4666" i="2"/>
  <c r="AL4593" i="2"/>
  <c r="AL4539" i="2"/>
  <c r="AL4530" i="2"/>
  <c r="AL4517" i="2"/>
  <c r="AL4474" i="2"/>
  <c r="AL4420" i="2"/>
  <c r="AL4322" i="2"/>
  <c r="AL4222" i="2"/>
  <c r="AL4524" i="2"/>
  <c r="AL4170" i="2"/>
  <c r="AL4075" i="2"/>
  <c r="AL4463" i="2"/>
  <c r="AL4460" i="2"/>
  <c r="AL4432" i="2"/>
  <c r="AL4391" i="2"/>
  <c r="AL4376" i="2"/>
  <c r="AL4320" i="2"/>
  <c r="AL4318" i="2"/>
  <c r="AL4280" i="2"/>
  <c r="AL4145" i="2"/>
  <c r="AL4585" i="2"/>
  <c r="AL4364" i="2"/>
  <c r="AL4259" i="2"/>
  <c r="AL4194" i="2"/>
  <c r="AL3790" i="2"/>
  <c r="AL4484" i="2"/>
  <c r="AL4430" i="2"/>
  <c r="AL3494" i="2"/>
  <c r="AL4578" i="2"/>
  <c r="AL4257" i="2"/>
  <c r="AL4192" i="2"/>
  <c r="AL3950" i="2"/>
  <c r="AL4084" i="2"/>
  <c r="AL4495" i="2"/>
  <c r="AL4472" i="2"/>
  <c r="AL4421" i="2"/>
  <c r="AL4260" i="2"/>
  <c r="AL4114" i="2"/>
  <c r="AL4105" i="2"/>
  <c r="AL4560" i="2"/>
  <c r="AL4538" i="2"/>
  <c r="AL4521" i="2"/>
  <c r="AL4475" i="2"/>
  <c r="AL4424" i="2"/>
  <c r="AL4306" i="2"/>
  <c r="AL4289" i="2"/>
  <c r="AL4256" i="2"/>
  <c r="AL3712" i="2"/>
  <c r="AL2462" i="2"/>
  <c r="AL4274" i="2"/>
  <c r="AL4208" i="2"/>
  <c r="AL3927" i="2"/>
  <c r="AL3832" i="2"/>
  <c r="AL3775" i="2"/>
  <c r="AL3710" i="2"/>
  <c r="AL3515" i="2"/>
  <c r="AL3493" i="2"/>
  <c r="AL3363" i="2"/>
  <c r="AL3302" i="2"/>
  <c r="AL4383" i="2"/>
  <c r="AL4228" i="2"/>
  <c r="AL3872" i="2"/>
  <c r="AL3630" i="2"/>
  <c r="AL3616" i="2"/>
  <c r="AL3613" i="2"/>
  <c r="AL3552" i="2"/>
  <c r="AL3442" i="2"/>
  <c r="AL3771" i="2"/>
  <c r="AL3764" i="2"/>
  <c r="AL3757" i="2"/>
  <c r="AL3447" i="2"/>
  <c r="AL3385" i="2"/>
  <c r="AL3309" i="2"/>
  <c r="AL2690" i="2"/>
  <c r="AL4043" i="2"/>
  <c r="AL3925" i="2"/>
  <c r="AL3947" i="2"/>
  <c r="AL3835" i="2"/>
  <c r="AL3760" i="2"/>
  <c r="AL3716" i="2"/>
  <c r="AL3330" i="2"/>
  <c r="AL3936" i="2"/>
  <c r="AL3751" i="2"/>
  <c r="AL3721" i="2"/>
  <c r="AL3683" i="2"/>
  <c r="AL3676" i="2"/>
  <c r="AL3555" i="2"/>
  <c r="AL3521" i="2"/>
  <c r="AL3254" i="2"/>
  <c r="AL3378" i="2"/>
  <c r="AL2653" i="2"/>
  <c r="AL3234" i="2"/>
  <c r="AL1971" i="2"/>
  <c r="AL2545" i="2"/>
  <c r="AL2557" i="2"/>
  <c r="AL2463" i="2"/>
  <c r="AL2605" i="2"/>
  <c r="AL2379" i="2"/>
  <c r="AL2334" i="2"/>
  <c r="AL1486" i="2"/>
  <c r="AL3158" i="2"/>
  <c r="AL2835" i="2"/>
  <c r="AL2630" i="2"/>
  <c r="AL2353" i="2"/>
  <c r="AL2204" i="2"/>
  <c r="AL3289" i="2"/>
  <c r="AL3212" i="2"/>
  <c r="AL2674" i="2"/>
  <c r="AL2571" i="2"/>
  <c r="AL2320" i="2"/>
  <c r="AL2029" i="2"/>
  <c r="AL2295" i="2"/>
  <c r="AL2263" i="2"/>
  <c r="AL1883" i="2"/>
  <c r="AL1590" i="2"/>
  <c r="AL2751" i="2"/>
  <c r="AL2004" i="2"/>
  <c r="AL1411" i="2"/>
  <c r="AL2448" i="2"/>
  <c r="AL2406" i="2"/>
  <c r="AL3005" i="2"/>
  <c r="AL2303" i="2"/>
  <c r="AL2264" i="2"/>
  <c r="AL1818" i="2"/>
  <c r="AL1776" i="2"/>
  <c r="AL1509" i="2"/>
  <c r="AL2473" i="2"/>
  <c r="AL3018" i="2"/>
  <c r="AL2608" i="2"/>
  <c r="AL2432" i="2"/>
  <c r="AL2277" i="2"/>
  <c r="AL2191" i="2"/>
  <c r="AL2159" i="2"/>
  <c r="AL2705" i="2"/>
  <c r="AL2398" i="2"/>
  <c r="AL2314" i="2"/>
  <c r="AL1649" i="2"/>
  <c r="AL1111" i="2"/>
  <c r="AL950" i="2"/>
  <c r="AL1275" i="2"/>
  <c r="AL1093" i="2"/>
  <c r="AL1001" i="2"/>
  <c r="AL1308" i="2"/>
  <c r="AL983" i="2"/>
  <c r="AL1356" i="2"/>
  <c r="AL1224" i="2"/>
  <c r="AL445" i="2"/>
  <c r="AL324" i="2"/>
  <c r="AL5131" i="2"/>
  <c r="AL525" i="2"/>
  <c r="AL292" i="2"/>
  <c r="AL5057" i="2"/>
  <c r="AL163"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<sst xmlns="http://schemas.openxmlformats.org/spreadsheetml/2006/main" count="329" uniqueCount="140">
  <si>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</si>
  <si>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</si>
  <si>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</si>
  <si>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</si>
  <si>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</si>
  <si>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</si>
  <si>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</si>
  <si>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</si>
  <si>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</si>
  <si>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</si>
  <si>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</si>
  <si>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</si>
  <si>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</si>
  <si>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</si>
  <si>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</si>
  <si>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</si>
  <si>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</si>
  <si>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</si>
  <si>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</si>
  <si>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</si>
  <si>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</si>
  <si>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</si>
  <si>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</si>
  <si>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</si>
  <si>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</si>
  <si>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</si>
  <si>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</si>
  <si>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</si>
  <si>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</si>
  <si>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</si>
  <si>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</si>
  <si>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</si>
  <si>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</si>
  <si>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</si>
  <si>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</si>
  <si>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</si>
  <si>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</si>
  <si>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</si>
  <si>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</si>
  <si>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</si>
  <si>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</si>
  <si>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</si>
  <si>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</si>
  <si>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</si>
  <si>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</si>
  <si>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</si>
  <si>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</si>
  <si>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</si>
  <si>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</si>
  <si>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</si>
  <si>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</si>
  <si>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</si>
  <si>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</si>
  <si>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</si>
  <si>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</si>
  <si>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</si>
  <si>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</si>
  <si>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</si>
  <si>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</si>
  <si>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</si>
  <si>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</si>
  <si>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</si>
  <si>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</si>
  <si>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</si>
  <si>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</si>
  <si>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</si>
  <si>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</si>
  <si>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</si>
  <si>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</si>
  <si>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</si>
  <si>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</si>
  <si>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</si>
  <si>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</si>
  <si>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</si>
  <si>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</si>
  <si>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</si>
  <si>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</si>
  <si>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</si>
  <si>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</si>
  <si>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</si>
  <si>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</si>
  <si>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</si>
  <si>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</si>
  <si>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</si>
  <si>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</si>
  <si>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</si>
  <si>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</si>
  <si>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</si>
  <si>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</si>
  <si>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</si>
  <si>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</si>
  <si>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</si>
  <si>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</si>
  <si>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Tributary To Nation River </t>
  </si>
  <si>
    <t>Thut 15000</t>
  </si>
  <si>
    <t>Sekani R07214 8</t>
  </si>
  <si>
    <t>Closed Bottom Structure</t>
  </si>
  <si>
    <t>Round Culvert</t>
  </si>
  <si>
    <t>No</t>
  </si>
  <si>
    <t>Yes</t>
  </si>
  <si>
    <t>Deep Fill</t>
  </si>
  <si>
    <t>High</t>
  </si>
  <si>
    <t>Sekani R07214 22</t>
  </si>
  <si>
    <t>Medium</t>
  </si>
  <si>
    <t>Thut 14000</t>
  </si>
  <si>
    <t>MoF</t>
  </si>
  <si>
    <t>Finlay-Nation FSR</t>
  </si>
  <si>
    <t>Sekani R09952 1</t>
  </si>
  <si>
    <t>Sekani R01884 61</t>
  </si>
  <si>
    <t xml:space="preserve">Tributary To Williston Reservoir </t>
  </si>
  <si>
    <t>Oval Culvert</t>
  </si>
  <si>
    <t xml:space="preserve">Finlay FSR </t>
  </si>
  <si>
    <t>Sekani R10040 25</t>
  </si>
  <si>
    <t>Finlay FSR</t>
  </si>
  <si>
    <t>Scovil Creek</t>
  </si>
  <si>
    <t>Finl 19000</t>
  </si>
  <si>
    <t>BCTS</t>
  </si>
  <si>
    <t>Low</t>
  </si>
  <si>
    <t>Sekani R01886 140</t>
  </si>
  <si>
    <t>Sekani R06855 33</t>
  </si>
  <si>
    <t>Sekani R10040 19</t>
  </si>
  <si>
    <t>Modeste FSR</t>
  </si>
  <si>
    <t>Open Bottom Structure</t>
  </si>
  <si>
    <t>Bridge</t>
  </si>
  <si>
    <t>High-quality stream with abundant gravels and cover, directly connected to the Nation River. Bull trout noted near the confluence. eDNA samples collected upstream and downstream of the crossing. This crossing is located on a road identified by BCTS as a candidate for potential deactivation.</t>
  </si>
  <si>
    <t>Small stream with short channel length before entering a large wetland area. Pockets of small gravel were present throughout. This crossing is located on a road identified by BCTS as a candidate for potential deactivation.</t>
  </si>
  <si>
    <t>Wetland type habitat downstream with good habitat upstream with pockets of gravel and a wide channel. Culverts beginning to sag in the middle. No outlet drop.</t>
  </si>
  <si>
    <t>Large stream with abundant woody debris, pools, and gravels upstream. Outlet dropped minimally onto a boulder.</t>
  </si>
  <si>
    <t>Large stream with pools and gravels present upstream. Significant amounts of road fill had been graded into the channel.</t>
  </si>
  <si>
    <t>Large, low gradient, high value system. Significant amounts of road fill is eroding from the road prism into the stream on both sides of the FSR. Habitat confirmation and electrofishing or EDNA sampling is recommended.</t>
  </si>
  <si>
    <t>Very large stream with 2.5m high beaver dam located in the middle of the culvert backing up a massive wetland upstream. First passage is definitely hindered by the beaver dam however, the wetland it creates provides likely stable hydrology for the downstream system.</t>
  </si>
  <si>
    <t>Very large system with extremely undersized pipe that is submerged at the inlet with obvious beaver activity within the pipe itself. Upstream is a huge wetland, beaver-influenced area. Culvert slope estimated as the outlet pool is extremely deep.</t>
  </si>
  <si>
    <t>High value habitat on very large system with pipe that has large outlet drop near 1m. Habitat confirmation and eDNA sampling conducted upstream and downstream of the crossing.</t>
  </si>
  <si>
    <t>Huge stream with abundant gravels and low gradient complex habitat upstream. Smaller outlet drop however pipe is somewhat undersized for the watershed.</t>
  </si>
  <si>
    <t>Dry, poorly defined channel. Unlikely fish habitat.</t>
  </si>
  <si>
    <t>Very large stream with a beaver dam located 30m upstream of the crossing. No outlet drop, but culvert is well undersized for the watershed. Stream width and gradient are rough estimates.</t>
  </si>
  <si>
    <t>Low gradient, larger system with abundant gravel. Culvert is fully embedded. Culvert length estimated based on photos.</t>
  </si>
  <si>
    <t>Replace with New Open Bottom Structure</t>
  </si>
  <si>
    <t>Replace Structure with Streambed Simulation CBS</t>
  </si>
  <si>
    <t>Beaver dam located 1m upstream from the inlet. Pipe is embedded and the top 10m is backwatered. Smaller stream with some pockets of gravel and decent flow – although there were heavy rains yesterday.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</si>
</sst>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1" fontId="1" fillId="0" borderId="0" xfId="3" applyNumberFormat="1" applyProtection="1">
      <protection locked="0"/>
    </xf>
    <xf numFmtId="49" fontId="0" fillId="0" borderId="0" xfId="0" applyNumberFormat="1"/>
    <xf numFmtId="0" fontId="22" fillId="0" borderId="0" xfId="1" applyAlignment="1" applyProtection="1"/>
    <xf numFmtId="165"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2" fontId="5" fillId="0" borderId="0" xfId="2" applyNumberFormat="1" applyFill="1" applyAlignment="1" applyProtection="1">
      <alignment horizontal="right"/>
      <protection locked="0"/>
    </xf>
    <xf numFmtId="0" fontId="1" fillId="0" borderId="0" xfId="3" applyFill="1" applyProtection="1">
      <protection locked="0"/>
    </xf>
    <xf numFmtId="0" fontId="5" fillId="0" borderId="0" xfId="2" applyFill="1" applyProtection="1">
      <protection locked="0"/>
    </xf>
    <xf numFmtId="2" fontId="0" fillId="0" borderId="0" xfId="0" applyNumberFormat="1" applyFill="1" applyAlignment="1" applyProtection="1">
      <alignment horizontal="right"/>
      <protection locked="0"/>
    </xf>
    <xf numFmtId="2" fontId="5" fillId="0" borderId="0" xfId="2" applyNumberFormat="1" applyFill="1" applyProtection="1">
      <protection locked="0"/>
    </xf>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79"/>
    </row>
    <row r="8" spans="1:20">
      <c r="A8" s="4" t="s">
        <v>73</v>
      </c>
    </row>
    <row r="9" spans="1:20">
      <c r="A9" s="4" t="s">
        <v>74</v>
      </c>
    </row>
    <row r="10" spans="1:20">
      <c r="A10" s="4" t="s">
        <v>75</v>
      </c>
      <c r="B10" s="80"/>
    </row>
    <row r="11" spans="1:20">
      <c r="A11" s="4"/>
      <c r="B11" s="10"/>
    </row>
    <row r="12" spans="1:20">
      <c r="A12" s="4" t="s">
        <v>36</v>
      </c>
      <c r="B12" s="79"/>
    </row>
    <row r="13" spans="1:20">
      <c r="A13" s="4" t="s">
        <v>37</v>
      </c>
    </row>
    <row r="14" spans="1:20">
      <c r="A14" s="4" t="s">
        <v>38</v>
      </c>
    </row>
    <row r="15" spans="1:20">
      <c r="A15" s="4" t="s">
        <v>39</v>
      </c>
      <c r="B15" s="80"/>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85" zoomScaleNormal="85" workbookViewId="0">
      <pane ySplit="4" topLeftCell="A5" activePane="bottomLeft" state="frozen"/>
      <selection pane="bottomLeft" activeCell="AO24" sqref="AO2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81">
        <v>45922</v>
      </c>
      <c r="C5" s="82">
        <v>15201563</v>
      </c>
      <c r="D5" s="82" t="s">
        <v>92</v>
      </c>
      <c r="E5" s="83">
        <v>10</v>
      </c>
      <c r="F5" s="84">
        <v>425959</v>
      </c>
      <c r="G5" s="84">
        <v>6122703</v>
      </c>
      <c r="H5" s="83" t="s">
        <v>93</v>
      </c>
      <c r="I5" s="83" t="s">
        <v>94</v>
      </c>
      <c r="J5" s="33"/>
      <c r="K5" s="83" t="s">
        <v>95</v>
      </c>
      <c r="L5" s="82" t="s">
        <v>96</v>
      </c>
      <c r="M5" s="82" t="s">
        <v>97</v>
      </c>
      <c r="N5" s="85">
        <v>0.8</v>
      </c>
      <c r="O5" s="85">
        <v>19</v>
      </c>
      <c r="P5" s="82" t="s">
        <v>98</v>
      </c>
      <c r="Q5" s="82"/>
      <c r="R5" s="82" t="s">
        <v>98</v>
      </c>
      <c r="S5" s="82" t="s">
        <v>98</v>
      </c>
      <c r="T5" s="82"/>
      <c r="U5" s="82">
        <v>1.5</v>
      </c>
      <c r="V5" s="82">
        <v>0.25</v>
      </c>
      <c r="W5" s="82">
        <v>0.5</v>
      </c>
      <c r="X5" s="82" t="s">
        <v>99</v>
      </c>
      <c r="Y5" s="82">
        <v>1</v>
      </c>
      <c r="Z5" s="82">
        <v>2.5</v>
      </c>
      <c r="AA5" s="82">
        <v>2.5</v>
      </c>
      <c r="AB5" s="82" t="s">
        <v>98</v>
      </c>
      <c r="AC5" s="82" t="s">
        <v>98</v>
      </c>
      <c r="AD5" s="82" t="s">
        <v>100</v>
      </c>
      <c r="AE5" s="82" t="s">
        <v>101</v>
      </c>
      <c r="AF5" s="20">
        <f>IF(ISBLANK(Z5), 0, IF(ISBLANK(N5) &lt; 0, 0,Z5 / N5))</f>
        <v>3.125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29</v>
      </c>
      <c r="AM5" s="14" t="str">
        <f>IF(ISBLANK(L5), "", IF(L5 = "Open Bottom Structure", "Passable", IF(L5 = "Other", "Unknown", IF(AL5 &lt; 15, "Passable", IF(AND(AL5 &gt;= 15,AL5 &lt;= 19), "Potential", IF(AL5 &gt; 19, "Barrier", ""))))))</f>
        <v>Barrier</v>
      </c>
      <c r="AN5" s="82" t="s">
        <v>137</v>
      </c>
      <c r="AO5" s="82">
        <v>15</v>
      </c>
      <c r="AP5" s="89" t="s">
        <v>124</v>
      </c>
    </row>
    <row r="6" spans="1:42" ht="16">
      <c r="A6" s="81">
        <v>45922</v>
      </c>
      <c r="C6" s="82">
        <v>15201146</v>
      </c>
      <c r="D6" s="82" t="s">
        <v>92</v>
      </c>
      <c r="E6" s="83">
        <v>10</v>
      </c>
      <c r="F6" s="84">
        <v>426678</v>
      </c>
      <c r="G6" s="84">
        <v>6123035</v>
      </c>
      <c r="H6" s="82" t="s">
        <v>93</v>
      </c>
      <c r="I6" s="83" t="s">
        <v>94</v>
      </c>
      <c r="J6" s="33"/>
      <c r="K6" s="82" t="s">
        <v>102</v>
      </c>
      <c r="L6" s="82" t="s">
        <v>96</v>
      </c>
      <c r="M6" s="82" t="s">
        <v>97</v>
      </c>
      <c r="N6" s="85">
        <v>0.8</v>
      </c>
      <c r="O6" s="85">
        <v>10</v>
      </c>
      <c r="P6" s="82" t="s">
        <v>98</v>
      </c>
      <c r="Q6" s="82"/>
      <c r="R6" s="82" t="s">
        <v>98</v>
      </c>
      <c r="S6" s="82" t="s">
        <v>98</v>
      </c>
      <c r="T6" s="82"/>
      <c r="U6" s="82">
        <v>1.5</v>
      </c>
      <c r="V6" s="82">
        <v>0.2</v>
      </c>
      <c r="W6" s="82">
        <v>0.1</v>
      </c>
      <c r="X6" s="82" t="s">
        <v>98</v>
      </c>
      <c r="Y6" s="82">
        <v>2</v>
      </c>
      <c r="Z6" s="82">
        <v>1.6</v>
      </c>
      <c r="AA6" s="82">
        <v>3.4</v>
      </c>
      <c r="AB6" s="82" t="s">
        <v>98</v>
      </c>
      <c r="AC6" s="82" t="s">
        <v>98</v>
      </c>
      <c r="AD6" s="82" t="s">
        <v>100</v>
      </c>
      <c r="AE6" s="82" t="s">
        <v>103</v>
      </c>
      <c r="AF6" s="20">
        <f t="shared" ref="AF6:AF11" si="0">IF(ISBLANK(Z6), 0, IF(ISBLANK(N6) &lt; 0, 0,Z6 / N6))</f>
        <v>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7">
        <f t="shared" ref="AK6:AK67" si="5">IF(AF6&lt;1,0,IF(AND(AF6&gt;=1,AF6&lt;1.3),3,IF(AF6&gt;=1.3,6,0)))</f>
        <v>6</v>
      </c>
      <c r="AL6" s="12">
        <f t="shared" ref="AL6:AL11" si="6">AG6 + AH6 + AI6 + AJ6 + AK6</f>
        <v>26</v>
      </c>
      <c r="AM6" s="14" t="str">
        <f t="shared" ref="AM6:AM67" si="7">IF(ISBLANK(L6), "", IF(L6 = "Open Bottom Structure", "Passable", IF(L6 = "Other", "Unknown", IF(AL6 &lt; 15, "Passable", IF(AND(AL6 &gt;= 15,AL6 &lt;= 19), "Potential", IF(AL6 &gt; 19, "Barrier", ""))))))</f>
        <v>Barrier</v>
      </c>
      <c r="AN6" s="82" t="s">
        <v>138</v>
      </c>
      <c r="AO6" s="82">
        <v>3</v>
      </c>
      <c r="AP6" s="89" t="s">
        <v>125</v>
      </c>
    </row>
    <row r="7" spans="1:42" ht="16">
      <c r="A7" s="81">
        <v>45922</v>
      </c>
      <c r="C7" s="82">
        <v>15202249</v>
      </c>
      <c r="D7" s="82" t="s">
        <v>92</v>
      </c>
      <c r="E7" s="83">
        <v>10</v>
      </c>
      <c r="F7" s="84">
        <v>429213</v>
      </c>
      <c r="G7" s="84">
        <v>6126036</v>
      </c>
      <c r="H7" s="82" t="s">
        <v>93</v>
      </c>
      <c r="I7" s="83" t="s">
        <v>104</v>
      </c>
      <c r="J7" s="33"/>
      <c r="K7" s="82" t="s">
        <v>105</v>
      </c>
      <c r="L7" s="82" t="s">
        <v>96</v>
      </c>
      <c r="M7" s="82" t="s">
        <v>97</v>
      </c>
      <c r="N7" s="86">
        <v>2.2999999999999998</v>
      </c>
      <c r="O7" s="86">
        <v>21</v>
      </c>
      <c r="P7" s="82" t="s">
        <v>98</v>
      </c>
      <c r="Q7" s="82"/>
      <c r="R7" s="82" t="s">
        <v>98</v>
      </c>
      <c r="S7" s="82" t="s">
        <v>98</v>
      </c>
      <c r="T7" s="82"/>
      <c r="U7" s="82">
        <v>1.2</v>
      </c>
      <c r="V7" s="82">
        <v>0</v>
      </c>
      <c r="W7" s="82">
        <v>0.4</v>
      </c>
      <c r="X7" s="82" t="s">
        <v>98</v>
      </c>
      <c r="Y7" s="82">
        <v>2</v>
      </c>
      <c r="Z7" s="82">
        <v>3</v>
      </c>
      <c r="AA7" s="82">
        <v>1.5</v>
      </c>
      <c r="AB7" s="82" t="s">
        <v>98</v>
      </c>
      <c r="AC7" s="82" t="s">
        <v>98</v>
      </c>
      <c r="AD7" s="82" t="s">
        <v>100</v>
      </c>
      <c r="AE7" s="82" t="s">
        <v>103</v>
      </c>
      <c r="AF7" s="20">
        <f t="shared" si="0"/>
        <v>1.3043478260869565</v>
      </c>
      <c r="AG7" s="13">
        <f t="shared" si="1"/>
        <v>3</v>
      </c>
      <c r="AH7" s="7">
        <f t="shared" si="2"/>
        <v>10</v>
      </c>
      <c r="AI7" s="7">
        <f t="shared" si="3"/>
        <v>0</v>
      </c>
      <c r="AJ7" s="7">
        <f t="shared" si="4"/>
        <v>5</v>
      </c>
      <c r="AK7" s="7">
        <f t="shared" si="5"/>
        <v>6</v>
      </c>
      <c r="AL7" s="12">
        <f t="shared" si="6"/>
        <v>24</v>
      </c>
      <c r="AM7" s="14" t="str">
        <f t="shared" si="7"/>
        <v>Barrier</v>
      </c>
      <c r="AN7" s="82" t="s">
        <v>137</v>
      </c>
      <c r="AO7" s="82">
        <v>15</v>
      </c>
      <c r="AP7" s="82" t="s">
        <v>126</v>
      </c>
    </row>
    <row r="8" spans="1:42" ht="16">
      <c r="A8" s="81">
        <v>45922</v>
      </c>
      <c r="B8" s="78"/>
      <c r="C8" s="82">
        <v>15200985</v>
      </c>
      <c r="D8" s="82" t="s">
        <v>92</v>
      </c>
      <c r="E8" s="83">
        <v>10</v>
      </c>
      <c r="F8" s="84">
        <v>458498</v>
      </c>
      <c r="G8" s="84">
        <v>6137654</v>
      </c>
      <c r="H8" s="82" t="s">
        <v>93</v>
      </c>
      <c r="I8" s="83" t="s">
        <v>106</v>
      </c>
      <c r="J8" s="87">
        <v>22.3</v>
      </c>
      <c r="K8" s="88" t="s">
        <v>107</v>
      </c>
      <c r="L8" s="82" t="s">
        <v>96</v>
      </c>
      <c r="M8" s="82" t="s">
        <v>97</v>
      </c>
      <c r="N8" s="86">
        <v>2.35</v>
      </c>
      <c r="O8" s="86">
        <v>15</v>
      </c>
      <c r="P8" s="82" t="s">
        <v>98</v>
      </c>
      <c r="Q8" s="82"/>
      <c r="R8" s="82" t="s">
        <v>98</v>
      </c>
      <c r="S8" s="82" t="s">
        <v>98</v>
      </c>
      <c r="T8" s="82"/>
      <c r="U8" s="82">
        <v>2</v>
      </c>
      <c r="V8" s="82">
        <v>0.15</v>
      </c>
      <c r="W8" s="82">
        <v>0.1</v>
      </c>
      <c r="X8" s="82" t="s">
        <v>99</v>
      </c>
      <c r="Y8" s="82">
        <v>4</v>
      </c>
      <c r="Z8" s="82">
        <v>4.0999999999999996</v>
      </c>
      <c r="AA8" s="82">
        <v>6</v>
      </c>
      <c r="AB8" s="82" t="s">
        <v>98</v>
      </c>
      <c r="AC8" s="82" t="s">
        <v>98</v>
      </c>
      <c r="AD8" s="82" t="s">
        <v>100</v>
      </c>
      <c r="AE8" s="82" t="s">
        <v>101</v>
      </c>
      <c r="AF8" s="20">
        <f t="shared" si="0"/>
        <v>1.7446808510638296</v>
      </c>
      <c r="AG8" s="13">
        <f t="shared" si="1"/>
        <v>3</v>
      </c>
      <c r="AH8" s="7">
        <f t="shared" si="2"/>
        <v>10</v>
      </c>
      <c r="AI8" s="7">
        <f t="shared" si="3"/>
        <v>5</v>
      </c>
      <c r="AJ8" s="7">
        <f t="shared" si="4"/>
        <v>10</v>
      </c>
      <c r="AK8" s="7">
        <f t="shared" si="5"/>
        <v>6</v>
      </c>
      <c r="AL8" s="12">
        <f t="shared" si="6"/>
        <v>34</v>
      </c>
      <c r="AM8" s="14" t="str">
        <f t="shared" si="7"/>
        <v>Barrier</v>
      </c>
      <c r="AN8" s="82" t="s">
        <v>137</v>
      </c>
      <c r="AO8" s="82">
        <v>15</v>
      </c>
      <c r="AP8" s="82" t="s">
        <v>127</v>
      </c>
    </row>
    <row r="9" spans="1:42" ht="16">
      <c r="A9" s="81">
        <v>45922</v>
      </c>
      <c r="C9" s="82">
        <v>15201007</v>
      </c>
      <c r="D9" s="82" t="s">
        <v>92</v>
      </c>
      <c r="E9" s="83">
        <v>10</v>
      </c>
      <c r="F9" s="84">
        <v>459772</v>
      </c>
      <c r="G9" s="84">
        <v>6140076</v>
      </c>
      <c r="H9" s="89" t="s">
        <v>93</v>
      </c>
      <c r="I9" s="83" t="s">
        <v>106</v>
      </c>
      <c r="J9" s="90">
        <v>19.5</v>
      </c>
      <c r="K9" s="88" t="s">
        <v>107</v>
      </c>
      <c r="L9" s="82" t="s">
        <v>96</v>
      </c>
      <c r="M9" s="82" t="s">
        <v>97</v>
      </c>
      <c r="N9" s="86">
        <v>2.1</v>
      </c>
      <c r="O9" s="86">
        <v>15</v>
      </c>
      <c r="P9" s="82" t="s">
        <v>98</v>
      </c>
      <c r="Q9" s="82"/>
      <c r="R9" s="82" t="s">
        <v>98</v>
      </c>
      <c r="S9" s="82" t="s">
        <v>98</v>
      </c>
      <c r="T9" s="82"/>
      <c r="U9" s="82">
        <v>1.3</v>
      </c>
      <c r="V9" s="82">
        <v>0</v>
      </c>
      <c r="W9" s="82">
        <v>0.1</v>
      </c>
      <c r="X9" s="82" t="s">
        <v>98</v>
      </c>
      <c r="Y9" s="82">
        <v>1</v>
      </c>
      <c r="Z9" s="82">
        <v>3.5</v>
      </c>
      <c r="AA9" s="82">
        <v>4</v>
      </c>
      <c r="AB9" s="82" t="s">
        <v>98</v>
      </c>
      <c r="AC9" s="82" t="s">
        <v>98</v>
      </c>
      <c r="AD9" s="82" t="s">
        <v>100</v>
      </c>
      <c r="AE9" s="82" t="s">
        <v>101</v>
      </c>
      <c r="AF9" s="20">
        <f t="shared" si="0"/>
        <v>1.6666666666666665</v>
      </c>
      <c r="AG9" s="13">
        <f t="shared" si="1"/>
        <v>3</v>
      </c>
      <c r="AH9" s="7">
        <f t="shared" si="2"/>
        <v>10</v>
      </c>
      <c r="AI9" s="7">
        <f t="shared" si="3"/>
        <v>0</v>
      </c>
      <c r="AJ9" s="7">
        <f t="shared" si="4"/>
        <v>5</v>
      </c>
      <c r="AK9" s="7">
        <f t="shared" si="5"/>
        <v>6</v>
      </c>
      <c r="AL9" s="12">
        <f t="shared" si="6"/>
        <v>24</v>
      </c>
      <c r="AM9" s="14" t="str">
        <f t="shared" si="7"/>
        <v>Barrier</v>
      </c>
      <c r="AN9" s="82" t="s">
        <v>137</v>
      </c>
      <c r="AO9" s="82">
        <v>15</v>
      </c>
      <c r="AP9" s="82" t="s">
        <v>128</v>
      </c>
    </row>
    <row r="10" spans="1:42" ht="16">
      <c r="A10" s="81">
        <v>45923</v>
      </c>
      <c r="C10" s="82">
        <v>15201006</v>
      </c>
      <c r="D10" s="82" t="s">
        <v>92</v>
      </c>
      <c r="E10" s="83">
        <v>10</v>
      </c>
      <c r="F10" s="84">
        <v>466124</v>
      </c>
      <c r="G10" s="84">
        <v>6147887</v>
      </c>
      <c r="H10" s="89" t="s">
        <v>93</v>
      </c>
      <c r="I10" s="83" t="s">
        <v>106</v>
      </c>
      <c r="J10" s="90">
        <v>8</v>
      </c>
      <c r="K10" s="82" t="s">
        <v>108</v>
      </c>
      <c r="L10" s="82" t="s">
        <v>96</v>
      </c>
      <c r="M10" s="82" t="s">
        <v>97</v>
      </c>
      <c r="N10" s="86">
        <v>1.55</v>
      </c>
      <c r="O10" s="86">
        <v>23</v>
      </c>
      <c r="P10" s="82" t="s">
        <v>98</v>
      </c>
      <c r="Q10" s="86"/>
      <c r="R10" s="82" t="s">
        <v>98</v>
      </c>
      <c r="S10" s="82" t="s">
        <v>98</v>
      </c>
      <c r="T10" s="86"/>
      <c r="U10" s="86">
        <v>3.5</v>
      </c>
      <c r="V10" s="82">
        <v>0.25</v>
      </c>
      <c r="W10" s="86">
        <v>0.1</v>
      </c>
      <c r="X10" s="82" t="s">
        <v>98</v>
      </c>
      <c r="Y10" s="86">
        <v>5.5</v>
      </c>
      <c r="Z10" s="86">
        <v>3.4</v>
      </c>
      <c r="AA10" s="82">
        <v>4</v>
      </c>
      <c r="AB10" s="82" t="s">
        <v>98</v>
      </c>
      <c r="AC10" s="82" t="s">
        <v>98</v>
      </c>
      <c r="AD10" s="82" t="s">
        <v>100</v>
      </c>
      <c r="AE10" s="82" t="s">
        <v>101</v>
      </c>
      <c r="AF10" s="20">
        <f t="shared" si="0"/>
        <v>2.193548387096774</v>
      </c>
      <c r="AG10" s="13">
        <f t="shared" si="1"/>
        <v>3</v>
      </c>
      <c r="AH10" s="7">
        <f t="shared" si="2"/>
        <v>10</v>
      </c>
      <c r="AI10" s="7">
        <f t="shared" si="3"/>
        <v>5</v>
      </c>
      <c r="AJ10" s="7">
        <f t="shared" si="4"/>
        <v>10</v>
      </c>
      <c r="AK10" s="7">
        <f t="shared" si="5"/>
        <v>6</v>
      </c>
      <c r="AL10" s="12">
        <f t="shared" si="6"/>
        <v>34</v>
      </c>
      <c r="AM10" s="14" t="str">
        <f t="shared" si="7"/>
        <v>Barrier</v>
      </c>
      <c r="AN10" s="82" t="s">
        <v>137</v>
      </c>
      <c r="AO10" s="86">
        <v>16.5</v>
      </c>
      <c r="AP10" s="82" t="s">
        <v>129</v>
      </c>
    </row>
    <row r="11" spans="1:42" ht="16">
      <c r="A11" s="81">
        <v>45923</v>
      </c>
      <c r="C11" s="89">
        <v>16400714</v>
      </c>
      <c r="D11" s="82" t="s">
        <v>92</v>
      </c>
      <c r="E11" s="82">
        <v>10</v>
      </c>
      <c r="F11" s="91">
        <v>469020</v>
      </c>
      <c r="G11" s="91">
        <v>6148916</v>
      </c>
      <c r="H11" s="89" t="s">
        <v>109</v>
      </c>
      <c r="I11" s="83" t="s">
        <v>106</v>
      </c>
      <c r="J11" s="33"/>
      <c r="K11" s="82" t="s">
        <v>105</v>
      </c>
      <c r="L11" s="82" t="s">
        <v>96</v>
      </c>
      <c r="M11" s="82" t="s">
        <v>110</v>
      </c>
      <c r="N11" s="86">
        <v>5.8</v>
      </c>
      <c r="O11" s="86">
        <v>30</v>
      </c>
      <c r="P11" s="82" t="s">
        <v>98</v>
      </c>
      <c r="Q11" s="86"/>
      <c r="R11" s="82" t="s">
        <v>98</v>
      </c>
      <c r="S11" s="82" t="s">
        <v>98</v>
      </c>
      <c r="T11" s="86"/>
      <c r="U11" s="86">
        <v>2</v>
      </c>
      <c r="V11" s="82">
        <v>0</v>
      </c>
      <c r="W11" s="86">
        <v>0.1</v>
      </c>
      <c r="X11" s="82" t="s">
        <v>98</v>
      </c>
      <c r="Y11" s="86">
        <v>2</v>
      </c>
      <c r="Z11" s="86">
        <v>7.4</v>
      </c>
      <c r="AA11" s="82">
        <v>1.5</v>
      </c>
      <c r="AB11" s="82" t="s">
        <v>99</v>
      </c>
      <c r="AC11" s="82" t="s">
        <v>98</v>
      </c>
      <c r="AD11" s="82" t="s">
        <v>100</v>
      </c>
      <c r="AE11" s="82" t="s">
        <v>101</v>
      </c>
      <c r="AF11" s="20">
        <f t="shared" si="0"/>
        <v>1.2758620689655173</v>
      </c>
      <c r="AG11" s="13">
        <f t="shared" si="1"/>
        <v>6</v>
      </c>
      <c r="AH11" s="7">
        <f t="shared" si="2"/>
        <v>10</v>
      </c>
      <c r="AI11" s="7">
        <f t="shared" si="3"/>
        <v>0</v>
      </c>
      <c r="AJ11" s="7">
        <f>IF(Y11&lt;1,0,IF(AND(Y11&gt;=1,Y11&lt;3),5,IF(Y11&gt;=3,10,0)))</f>
        <v>5</v>
      </c>
      <c r="AK11" s="7">
        <f t="shared" si="5"/>
        <v>3</v>
      </c>
      <c r="AL11" s="12">
        <f t="shared" si="6"/>
        <v>24</v>
      </c>
      <c r="AM11" s="14" t="str">
        <f t="shared" si="7"/>
        <v>Barrier</v>
      </c>
      <c r="AN11" s="82" t="s">
        <v>137</v>
      </c>
      <c r="AO11" s="82">
        <v>15</v>
      </c>
      <c r="AP11" s="82" t="s">
        <v>130</v>
      </c>
    </row>
    <row r="12" spans="1:42" ht="32">
      <c r="A12" s="81">
        <v>45923</v>
      </c>
      <c r="C12" s="82">
        <v>16401990</v>
      </c>
      <c r="D12" s="82" t="s">
        <v>92</v>
      </c>
      <c r="E12" s="83">
        <v>10</v>
      </c>
      <c r="F12" s="84">
        <v>480204</v>
      </c>
      <c r="G12" s="84">
        <v>6138985</v>
      </c>
      <c r="H12" s="83" t="s">
        <v>109</v>
      </c>
      <c r="I12" s="83" t="s">
        <v>111</v>
      </c>
      <c r="J12" s="33"/>
      <c r="K12" s="83" t="s">
        <v>112</v>
      </c>
      <c r="L12" s="82" t="s">
        <v>96</v>
      </c>
      <c r="M12" s="82" t="s">
        <v>97</v>
      </c>
      <c r="N12" s="86">
        <v>1</v>
      </c>
      <c r="O12" s="86">
        <v>50</v>
      </c>
      <c r="P12" s="82" t="s">
        <v>98</v>
      </c>
      <c r="Q12" s="82"/>
      <c r="R12" s="82" t="s">
        <v>98</v>
      </c>
      <c r="S12" s="82" t="s">
        <v>98</v>
      </c>
      <c r="T12" s="86"/>
      <c r="U12" s="86">
        <v>7</v>
      </c>
      <c r="V12" s="82">
        <v>0</v>
      </c>
      <c r="W12" s="86">
        <v>1.5</v>
      </c>
      <c r="X12" s="82" t="s">
        <v>98</v>
      </c>
      <c r="Y12" s="86">
        <v>3</v>
      </c>
      <c r="Z12" s="86">
        <v>10</v>
      </c>
      <c r="AA12" s="82">
        <v>0.5</v>
      </c>
      <c r="AB12" s="82" t="s">
        <v>99</v>
      </c>
      <c r="AC12" s="82" t="s">
        <v>98</v>
      </c>
      <c r="AD12" s="82" t="s">
        <v>100</v>
      </c>
      <c r="AE12" s="82" t="s">
        <v>103</v>
      </c>
      <c r="AF12" s="20">
        <f t="shared" ref="AF12:AF72" si="8">IF(ISBLANK(Z12), 0, IF(ISBLANK(N12) &lt; 0, 0,Z12 / N12))</f>
        <v>10</v>
      </c>
      <c r="AG12" s="13">
        <f t="shared" si="1"/>
        <v>6</v>
      </c>
      <c r="AH12" s="7">
        <f t="shared" si="2"/>
        <v>10</v>
      </c>
      <c r="AI12" s="7">
        <f t="shared" si="3"/>
        <v>0</v>
      </c>
      <c r="AJ12" s="7">
        <f t="shared" si="4"/>
        <v>10</v>
      </c>
      <c r="AK12" s="7">
        <f t="shared" si="5"/>
        <v>6</v>
      </c>
      <c r="AL12" s="12">
        <f t="shared" ref="AL12:AL70" si="9">AG12 + AH12 + AI12 + AJ12 + AK12</f>
        <v>32</v>
      </c>
      <c r="AM12" s="14" t="str">
        <f t="shared" si="7"/>
        <v>Barrier</v>
      </c>
      <c r="AN12" s="82" t="s">
        <v>137</v>
      </c>
      <c r="AO12" s="86">
        <v>27</v>
      </c>
      <c r="AP12" s="82" t="s">
        <v>131</v>
      </c>
    </row>
    <row r="13" spans="1:42" ht="32">
      <c r="A13" s="81">
        <v>45923</v>
      </c>
      <c r="C13" s="82">
        <v>16401519</v>
      </c>
      <c r="D13" s="82" t="s">
        <v>92</v>
      </c>
      <c r="E13" s="83">
        <v>10</v>
      </c>
      <c r="F13" s="84">
        <v>486504</v>
      </c>
      <c r="G13" s="84">
        <v>6124990</v>
      </c>
      <c r="H13" s="83" t="s">
        <v>109</v>
      </c>
      <c r="I13" s="83" t="s">
        <v>113</v>
      </c>
      <c r="J13" s="92">
        <v>30.9</v>
      </c>
      <c r="K13" s="83" t="s">
        <v>105</v>
      </c>
      <c r="L13" s="82" t="s">
        <v>96</v>
      </c>
      <c r="M13" s="82" t="s">
        <v>97</v>
      </c>
      <c r="N13" s="86">
        <v>3.9</v>
      </c>
      <c r="O13" s="86">
        <v>46</v>
      </c>
      <c r="P13" s="82" t="s">
        <v>98</v>
      </c>
      <c r="Q13" s="82"/>
      <c r="R13" s="82" t="s">
        <v>98</v>
      </c>
      <c r="S13" s="82" t="s">
        <v>98</v>
      </c>
      <c r="T13" s="82"/>
      <c r="U13" s="86">
        <v>2.5</v>
      </c>
      <c r="V13" s="82">
        <v>0.95</v>
      </c>
      <c r="W13" s="86">
        <v>0.5</v>
      </c>
      <c r="X13" s="82" t="s">
        <v>98</v>
      </c>
      <c r="Y13" s="86">
        <v>2</v>
      </c>
      <c r="Z13" s="86">
        <v>6</v>
      </c>
      <c r="AA13" s="82">
        <v>2</v>
      </c>
      <c r="AB13" s="82" t="s">
        <v>98</v>
      </c>
      <c r="AC13" s="82" t="s">
        <v>98</v>
      </c>
      <c r="AD13" s="82" t="s">
        <v>100</v>
      </c>
      <c r="AE13" s="82" t="s">
        <v>101</v>
      </c>
      <c r="AF13" s="20">
        <f t="shared" si="8"/>
        <v>1.5384615384615385</v>
      </c>
      <c r="AG13" s="13">
        <f t="shared" si="1"/>
        <v>6</v>
      </c>
      <c r="AH13" s="7">
        <f t="shared" si="2"/>
        <v>10</v>
      </c>
      <c r="AI13" s="7">
        <f t="shared" si="3"/>
        <v>10</v>
      </c>
      <c r="AJ13" s="7">
        <f t="shared" si="4"/>
        <v>5</v>
      </c>
      <c r="AK13" s="7">
        <f t="shared" si="5"/>
        <v>6</v>
      </c>
      <c r="AL13" s="12">
        <f t="shared" si="9"/>
        <v>37</v>
      </c>
      <c r="AM13" s="14" t="str">
        <f t="shared" si="7"/>
        <v>Barrier</v>
      </c>
      <c r="AN13" s="82" t="s">
        <v>137</v>
      </c>
      <c r="AO13" s="86">
        <v>15</v>
      </c>
      <c r="AP13" s="82" t="s">
        <v>132</v>
      </c>
    </row>
    <row r="14" spans="1:42" ht="16">
      <c r="A14" s="81">
        <v>45923</v>
      </c>
      <c r="C14" s="82">
        <v>16401529</v>
      </c>
      <c r="D14" s="82" t="s">
        <v>92</v>
      </c>
      <c r="E14" s="83">
        <v>10</v>
      </c>
      <c r="F14" s="84">
        <v>486441</v>
      </c>
      <c r="G14" s="84">
        <v>6119999</v>
      </c>
      <c r="H14" s="83" t="s">
        <v>114</v>
      </c>
      <c r="I14" s="83" t="s">
        <v>113</v>
      </c>
      <c r="J14" s="92">
        <v>26</v>
      </c>
      <c r="K14" s="83" t="s">
        <v>105</v>
      </c>
      <c r="L14" s="82" t="s">
        <v>96</v>
      </c>
      <c r="M14" s="82" t="s">
        <v>110</v>
      </c>
      <c r="N14" s="86">
        <v>4.5999999999999996</v>
      </c>
      <c r="O14" s="86">
        <v>35</v>
      </c>
      <c r="P14" s="82" t="s">
        <v>98</v>
      </c>
      <c r="Q14" s="82"/>
      <c r="R14" s="82" t="s">
        <v>98</v>
      </c>
      <c r="S14" s="82" t="s">
        <v>98</v>
      </c>
      <c r="T14" s="82"/>
      <c r="U14" s="86">
        <v>3</v>
      </c>
      <c r="V14" s="82">
        <v>0.2</v>
      </c>
      <c r="W14" s="86">
        <v>0.7</v>
      </c>
      <c r="X14" s="82" t="s">
        <v>98</v>
      </c>
      <c r="Y14" s="86">
        <v>2</v>
      </c>
      <c r="Z14" s="86">
        <v>9.3000000000000007</v>
      </c>
      <c r="AA14" s="82">
        <v>2</v>
      </c>
      <c r="AB14" s="82" t="s">
        <v>98</v>
      </c>
      <c r="AC14" s="82" t="s">
        <v>98</v>
      </c>
      <c r="AD14" s="82" t="s">
        <v>100</v>
      </c>
      <c r="AE14" s="82" t="s">
        <v>101</v>
      </c>
      <c r="AF14" s="20">
        <f t="shared" si="8"/>
        <v>2.0217391304347827</v>
      </c>
      <c r="AG14" s="13">
        <f t="shared" si="1"/>
        <v>6</v>
      </c>
      <c r="AH14" s="7">
        <f t="shared" si="2"/>
        <v>10</v>
      </c>
      <c r="AI14" s="7">
        <f t="shared" si="3"/>
        <v>5</v>
      </c>
      <c r="AJ14" s="7">
        <f t="shared" si="4"/>
        <v>5</v>
      </c>
      <c r="AK14" s="7">
        <f t="shared" si="5"/>
        <v>6</v>
      </c>
      <c r="AL14" s="12">
        <f t="shared" si="9"/>
        <v>32</v>
      </c>
      <c r="AM14" s="14" t="str">
        <f t="shared" si="7"/>
        <v>Barrier</v>
      </c>
      <c r="AN14" s="82" t="s">
        <v>137</v>
      </c>
      <c r="AO14" s="86">
        <v>15</v>
      </c>
      <c r="AP14" s="82" t="s">
        <v>133</v>
      </c>
    </row>
    <row r="15" spans="1:42" ht="32">
      <c r="A15" s="81">
        <v>45923</v>
      </c>
      <c r="C15" s="82">
        <v>16400428</v>
      </c>
      <c r="D15" s="82" t="s">
        <v>92</v>
      </c>
      <c r="E15" s="83">
        <v>10</v>
      </c>
      <c r="F15" s="84">
        <v>488459</v>
      </c>
      <c r="G15" s="84">
        <v>6112370</v>
      </c>
      <c r="H15" s="83" t="s">
        <v>109</v>
      </c>
      <c r="I15" s="83" t="s">
        <v>115</v>
      </c>
      <c r="K15" s="83" t="s">
        <v>116</v>
      </c>
      <c r="L15" s="82" t="s">
        <v>96</v>
      </c>
      <c r="M15" s="82" t="s">
        <v>97</v>
      </c>
      <c r="N15" s="86">
        <v>1.65</v>
      </c>
      <c r="O15" s="86">
        <v>16</v>
      </c>
      <c r="P15" s="82" t="s">
        <v>98</v>
      </c>
      <c r="Q15" s="82"/>
      <c r="R15" s="82" t="s">
        <v>98</v>
      </c>
      <c r="S15" s="82" t="s">
        <v>98</v>
      </c>
      <c r="T15" s="86"/>
      <c r="U15" s="86">
        <v>2</v>
      </c>
      <c r="V15" s="82">
        <v>0</v>
      </c>
      <c r="W15" s="86">
        <v>0</v>
      </c>
      <c r="X15" s="82" t="s">
        <v>99</v>
      </c>
      <c r="Y15" s="86">
        <v>2.5</v>
      </c>
      <c r="Z15" s="86">
        <v>1.5</v>
      </c>
      <c r="AA15" s="82">
        <v>1.5</v>
      </c>
      <c r="AB15" s="82" t="s">
        <v>98</v>
      </c>
      <c r="AC15" s="82" t="s">
        <v>98</v>
      </c>
      <c r="AD15" s="82" t="s">
        <v>100</v>
      </c>
      <c r="AE15" s="82" t="s">
        <v>117</v>
      </c>
      <c r="AF15" s="20">
        <f t="shared" si="8"/>
        <v>0.90909090909090917</v>
      </c>
      <c r="AG15" s="13">
        <f t="shared" si="1"/>
        <v>3</v>
      </c>
      <c r="AH15" s="7">
        <f t="shared" si="2"/>
        <v>10</v>
      </c>
      <c r="AI15" s="7">
        <f t="shared" si="3"/>
        <v>0</v>
      </c>
      <c r="AJ15" s="7">
        <f t="shared" si="4"/>
        <v>5</v>
      </c>
      <c r="AK15" s="7">
        <f t="shared" si="5"/>
        <v>0</v>
      </c>
      <c r="AL15" s="12">
        <f t="shared" si="9"/>
        <v>18</v>
      </c>
      <c r="AM15" s="14" t="str">
        <f t="shared" si="7"/>
        <v>Potential</v>
      </c>
      <c r="AN15" s="82" t="s">
        <v>138</v>
      </c>
      <c r="AO15" s="86">
        <v>3</v>
      </c>
      <c r="AP15" s="82" t="s">
        <v>134</v>
      </c>
    </row>
    <row r="16" spans="1:42" ht="32">
      <c r="A16" s="81">
        <v>45923</v>
      </c>
      <c r="C16" s="82">
        <v>16491533</v>
      </c>
      <c r="D16" s="82" t="s">
        <v>92</v>
      </c>
      <c r="E16" s="83">
        <v>10</v>
      </c>
      <c r="F16" s="84">
        <v>479612</v>
      </c>
      <c r="G16" s="84">
        <v>6141425</v>
      </c>
      <c r="H16" s="83" t="s">
        <v>109</v>
      </c>
      <c r="I16" s="83" t="s">
        <v>111</v>
      </c>
      <c r="K16" s="83" t="s">
        <v>118</v>
      </c>
      <c r="L16" s="82" t="s">
        <v>96</v>
      </c>
      <c r="M16" s="82" t="s">
        <v>97</v>
      </c>
      <c r="N16" s="86">
        <v>2.6</v>
      </c>
      <c r="O16" s="86">
        <v>35</v>
      </c>
      <c r="P16" s="82" t="s">
        <v>98</v>
      </c>
      <c r="Q16" s="82"/>
      <c r="R16" s="82" t="s">
        <v>98</v>
      </c>
      <c r="S16" s="82" t="s">
        <v>99</v>
      </c>
      <c r="T16" s="86">
        <v>50</v>
      </c>
      <c r="U16" s="86">
        <v>1.6</v>
      </c>
      <c r="V16" s="82">
        <v>0</v>
      </c>
      <c r="W16" s="86">
        <v>0.25</v>
      </c>
      <c r="X16" s="82" t="s">
        <v>99</v>
      </c>
      <c r="Y16" s="86">
        <v>1.5</v>
      </c>
      <c r="Z16" s="86">
        <v>8</v>
      </c>
      <c r="AA16" s="82">
        <v>3</v>
      </c>
      <c r="AB16" s="82" t="s">
        <v>99</v>
      </c>
      <c r="AC16" s="82" t="s">
        <v>98</v>
      </c>
      <c r="AD16" s="82" t="s">
        <v>100</v>
      </c>
      <c r="AE16" s="82" t="s">
        <v>103</v>
      </c>
      <c r="AF16" s="20">
        <f t="shared" si="8"/>
        <v>3.0769230769230766</v>
      </c>
      <c r="AG16" s="13">
        <f t="shared" si="1"/>
        <v>6</v>
      </c>
      <c r="AH16" s="7">
        <f t="shared" si="2"/>
        <v>10</v>
      </c>
      <c r="AI16" s="7">
        <f t="shared" si="3"/>
        <v>0</v>
      </c>
      <c r="AJ16" s="7">
        <f t="shared" si="4"/>
        <v>5</v>
      </c>
      <c r="AK16" s="7">
        <f t="shared" si="5"/>
        <v>6</v>
      </c>
      <c r="AL16" s="12">
        <f t="shared" si="9"/>
        <v>27</v>
      </c>
      <c r="AM16" s="14" t="str">
        <f t="shared" si="7"/>
        <v>Barrier</v>
      </c>
      <c r="AN16" s="82" t="s">
        <v>137</v>
      </c>
      <c r="AO16" s="86">
        <v>15</v>
      </c>
      <c r="AP16" s="82" t="s">
        <v>135</v>
      </c>
    </row>
    <row r="17" spans="1:42" ht="32">
      <c r="A17" s="81">
        <v>45923</v>
      </c>
      <c r="C17" s="82">
        <v>16401530</v>
      </c>
      <c r="D17" s="82" t="s">
        <v>92</v>
      </c>
      <c r="E17" s="83">
        <v>10</v>
      </c>
      <c r="F17" s="84">
        <v>486707</v>
      </c>
      <c r="G17" s="84">
        <v>6116611</v>
      </c>
      <c r="H17" s="83" t="s">
        <v>109</v>
      </c>
      <c r="I17" s="83" t="s">
        <v>113</v>
      </c>
      <c r="J17" s="92">
        <v>22</v>
      </c>
      <c r="K17" s="83" t="s">
        <v>119</v>
      </c>
      <c r="L17" s="82" t="s">
        <v>96</v>
      </c>
      <c r="M17" s="82" t="s">
        <v>97</v>
      </c>
      <c r="N17" s="86">
        <v>3.5</v>
      </c>
      <c r="O17" s="86">
        <v>30</v>
      </c>
      <c r="P17" s="82" t="s">
        <v>99</v>
      </c>
      <c r="Q17" s="86">
        <v>0.27</v>
      </c>
      <c r="R17" s="82" t="s">
        <v>99</v>
      </c>
      <c r="S17" s="82" t="s">
        <v>98</v>
      </c>
      <c r="T17" s="82"/>
      <c r="U17" s="86">
        <v>3</v>
      </c>
      <c r="V17" s="82">
        <v>0</v>
      </c>
      <c r="W17" s="86">
        <v>0.03</v>
      </c>
      <c r="X17" s="82" t="s">
        <v>98</v>
      </c>
      <c r="Y17" s="86">
        <v>0.5</v>
      </c>
      <c r="Z17" s="86">
        <v>3.7</v>
      </c>
      <c r="AA17" s="82">
        <v>1</v>
      </c>
      <c r="AB17" s="82" t="s">
        <v>98</v>
      </c>
      <c r="AC17" s="82" t="s">
        <v>98</v>
      </c>
      <c r="AD17" s="82" t="s">
        <v>100</v>
      </c>
      <c r="AE17" s="82" t="s">
        <v>101</v>
      </c>
      <c r="AF17" s="20">
        <f t="shared" si="8"/>
        <v>1.0571428571428572</v>
      </c>
      <c r="AG17" s="13">
        <f t="shared" si="1"/>
        <v>6</v>
      </c>
      <c r="AH17" s="7">
        <f t="shared" si="2"/>
        <v>5</v>
      </c>
      <c r="AI17" s="7">
        <f t="shared" si="3"/>
        <v>0</v>
      </c>
      <c r="AJ17" s="7">
        <f t="shared" si="4"/>
        <v>0</v>
      </c>
      <c r="AK17" s="7">
        <f t="shared" si="5"/>
        <v>3</v>
      </c>
      <c r="AL17" s="12">
        <f t="shared" si="9"/>
        <v>14</v>
      </c>
      <c r="AM17" s="14" t="str">
        <f t="shared" si="7"/>
        <v>Passable</v>
      </c>
      <c r="AP17" s="82" t="s">
        <v>136</v>
      </c>
    </row>
    <row r="18" spans="1:42" ht="32">
      <c r="A18" s="81">
        <v>45923</v>
      </c>
      <c r="C18" s="82">
        <v>16401547</v>
      </c>
      <c r="D18" s="82" t="s">
        <v>92</v>
      </c>
      <c r="E18" s="83">
        <v>10</v>
      </c>
      <c r="F18" s="84">
        <v>476482</v>
      </c>
      <c r="G18" s="84">
        <v>6147549</v>
      </c>
      <c r="H18" s="83" t="s">
        <v>109</v>
      </c>
      <c r="I18" s="83" t="s">
        <v>113</v>
      </c>
      <c r="K18" s="83" t="s">
        <v>120</v>
      </c>
      <c r="L18" s="82" t="s">
        <v>96</v>
      </c>
      <c r="M18" s="82" t="s">
        <v>97</v>
      </c>
      <c r="N18" s="86">
        <v>2.9</v>
      </c>
      <c r="O18" s="86">
        <v>30</v>
      </c>
      <c r="P18" s="82" t="s">
        <v>99</v>
      </c>
      <c r="Q18" s="82">
        <v>0.6</v>
      </c>
      <c r="R18" s="82" t="s">
        <v>98</v>
      </c>
      <c r="S18" s="82" t="s">
        <v>99</v>
      </c>
      <c r="T18" s="86">
        <v>50</v>
      </c>
      <c r="U18" s="86">
        <v>2</v>
      </c>
      <c r="V18" s="82">
        <v>0</v>
      </c>
      <c r="W18" s="86">
        <v>0.1</v>
      </c>
      <c r="X18" s="82" t="s">
        <v>99</v>
      </c>
      <c r="Y18" s="86">
        <v>1</v>
      </c>
      <c r="Z18" s="86">
        <v>2</v>
      </c>
      <c r="AA18" s="82">
        <v>0</v>
      </c>
      <c r="AB18" s="82" t="s">
        <v>99</v>
      </c>
      <c r="AC18" s="82" t="s">
        <v>98</v>
      </c>
      <c r="AD18" s="82" t="s">
        <v>100</v>
      </c>
      <c r="AE18" s="82" t="s">
        <v>103</v>
      </c>
      <c r="AF18" s="20">
        <f t="shared" si="8"/>
        <v>0.68965517241379315</v>
      </c>
      <c r="AG18" s="13">
        <f t="shared" si="1"/>
        <v>6</v>
      </c>
      <c r="AH18" s="7">
        <f t="shared" si="2"/>
        <v>0</v>
      </c>
      <c r="AI18" s="7">
        <f t="shared" si="3"/>
        <v>0</v>
      </c>
      <c r="AJ18" s="7">
        <f t="shared" si="4"/>
        <v>5</v>
      </c>
      <c r="AK18" s="7">
        <f t="shared" si="5"/>
        <v>0</v>
      </c>
      <c r="AL18" s="12">
        <f t="shared" si="9"/>
        <v>11</v>
      </c>
      <c r="AM18" s="14" t="str">
        <f t="shared" si="7"/>
        <v>Passable</v>
      </c>
      <c r="AP18" s="82" t="s">
        <v>139</v>
      </c>
    </row>
    <row r="19" spans="1:42" ht="32">
      <c r="A19" s="81">
        <v>45923</v>
      </c>
      <c r="C19" s="82">
        <v>16401393</v>
      </c>
      <c r="D19" s="82" t="s">
        <v>92</v>
      </c>
      <c r="E19" s="83">
        <v>10</v>
      </c>
      <c r="F19" s="84">
        <v>486421</v>
      </c>
      <c r="G19" s="84">
        <v>6124806</v>
      </c>
      <c r="H19" s="83" t="s">
        <v>109</v>
      </c>
      <c r="I19" s="83" t="s">
        <v>121</v>
      </c>
      <c r="J19" s="90">
        <v>0.1</v>
      </c>
      <c r="K19" s="83" t="s">
        <v>105</v>
      </c>
      <c r="L19" s="82" t="s">
        <v>122</v>
      </c>
      <c r="M19" s="82" t="s">
        <v>123</v>
      </c>
      <c r="N19" s="86">
        <v>18.3</v>
      </c>
      <c r="O19" s="86">
        <v>5</v>
      </c>
      <c r="P19" s="82" t="s">
        <v>98</v>
      </c>
      <c r="Q19" s="82"/>
      <c r="R19" s="82" t="s">
        <v>98</v>
      </c>
      <c r="S19" s="82" t="s">
        <v>98</v>
      </c>
      <c r="T19" s="86"/>
      <c r="U19" s="86"/>
      <c r="V19" s="82">
        <v>0</v>
      </c>
      <c r="W19" s="86">
        <v>0</v>
      </c>
      <c r="X19" s="82" t="s">
        <v>98</v>
      </c>
      <c r="Y19" s="86">
        <v>0</v>
      </c>
      <c r="Z19" s="86">
        <v>0</v>
      </c>
      <c r="AA19" s="82">
        <v>0</v>
      </c>
      <c r="AB19" s="82" t="s">
        <v>98</v>
      </c>
      <c r="AC19" s="82" t="s">
        <v>98</v>
      </c>
      <c r="AD19" s="82"/>
      <c r="AE19" s="82"/>
      <c r="AF19" s="20">
        <f t="shared" si="8"/>
        <v>0</v>
      </c>
      <c r="AG19" s="13">
        <f t="shared" si="1"/>
        <v>0</v>
      </c>
      <c r="AH19" s="7">
        <f t="shared" si="2"/>
        <v>10</v>
      </c>
      <c r="AI19" s="7">
        <f t="shared" si="3"/>
        <v>0</v>
      </c>
      <c r="AJ19" s="7">
        <f t="shared" si="4"/>
        <v>0</v>
      </c>
      <c r="AK19" s="7">
        <f t="shared" si="5"/>
        <v>0</v>
      </c>
      <c r="AL19" s="12">
        <f t="shared" si="9"/>
        <v>10</v>
      </c>
      <c r="AM19" s="14" t="str">
        <f t="shared" si="7"/>
        <v>Passable</v>
      </c>
      <c r="AN19" s="82"/>
      <c r="AO19" s="86"/>
      <c r="AP19" s="82" t="s">
        <v>123</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7hXkIMImfaT5w/ViCRpIMfleXcWmwHz/W1MJx00ofTZs5xuSGMr47Zj6GiJgInFnsTZNDXtyWDaA2uW4s7hg==" saltValue="w5avOFXxtJOPnb4rWXCyi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8" xr:uid="{F7873CF8-B039-8141-B27B-5E27A8ACBAD9}">
      <formula1>"Round Culvert,Oval Culvert,Concrete Box"</formula1>
    </dataValidation>
    <dataValidation type="decimal" allowBlank="1" showInputMessage="1" showErrorMessage="1" errorTitle="Invalid Diamter or Span" error="The Diameter or Span entered is invalid. Diameter or Span must be &gt; 0 and &lt; 300" sqref="N5:N18" xr:uid="{5ED35961-2DB0-0A4A-9679-0939600EE711}">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5:Q6" xr:uid="{96EBEA84-E980-E84C-8728-9623E0C2F84F}">
      <formula1>0.01</formula1>
      <formula2>0.79</formula2>
    </dataValidation>
    <dataValidation type="decimal" allowBlank="1" showInputMessage="1" showErrorMessage="1" errorTitle="Invalid value entered" error="The Average Depth Embededdment you entered is invalid. The Average Depth Embededdment must be &lt;= 2.29 and &gt;= 0.01" sqref="Q7" xr:uid="{2F11DF52-2DF7-7F48-9F7C-7024C0F2C3BD}">
      <formula1>0.01</formula1>
      <formula2>2.29</formula2>
    </dataValidation>
    <dataValidation type="decimal" allowBlank="1" showInputMessage="1" showErrorMessage="1" errorTitle="Invalid value entered" error="The Average Depth Embededdment you entered is invalid. The Average Depth Embededdment must be &lt;= 2.34 and &gt;= 0.01" sqref="Q8" xr:uid="{83BCA3BF-F436-1C47-BFC2-F6A0194E2522}">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9" xr:uid="{CD0E7A17-C648-7A48-AC4E-6EDBD4EA3E67}">
      <formula1>0.01</formula1>
      <formula2>2.09</formula2>
    </dataValidation>
    <dataValidation type="decimal" allowBlank="1" showInputMessage="1" showErrorMessage="1" errorTitle="Invalid value entered" error="The Average Depth Embededdment you entered is invalid. The Average Depth Embededdment must be &lt;= 1.54 and &gt;= 0.01" sqref="Q10" xr:uid="{F4FB5513-4F05-E14A-AA24-61CC89DF4B95}">
      <formula1>0.01</formula1>
      <formula2>1.54</formula2>
    </dataValidation>
    <dataValidation type="decimal" allowBlank="1" showInputMessage="1" showErrorMessage="1" errorTitle="Invalid value entered" error="The Average Depth Embededdment you entered is invalid. The Average Depth Embededdment must be &lt;= 5.79 and &gt;= 0.01" sqref="Q11" xr:uid="{B8184EC8-A7E6-0D40-8FCA-27BCC37B6DE9}">
      <formula1>0.01</formula1>
      <formula2>5.79</formula2>
    </dataValidation>
    <dataValidation type="decimal" allowBlank="1" showInputMessage="1" showErrorMessage="1" errorTitle="Invalid value entered" error="The Average Depth Embededdment you entered is invalid. The Average Depth Embededdment must be &lt;= 0.99 and &gt;= 0.01" sqref="Q12" xr:uid="{9E49B4C5-B7D4-4C41-B879-34ED188F9245}">
      <formula1>0.01</formula1>
      <formula2>0.99</formula2>
    </dataValidation>
    <dataValidation type="decimal" allowBlank="1" showInputMessage="1" showErrorMessage="1" errorTitle="Invalid value entered" error="The Average Depth Embededdment you entered is invalid. The Average Depth Embededdment must be &lt;= 3.89 and &gt;= 0.01" sqref="Q13" xr:uid="{A793FFB5-2E00-6C4E-BB45-16C3818332FB}">
      <formula1>0.01</formula1>
      <formula2>3.89</formula2>
    </dataValidation>
    <dataValidation type="decimal" allowBlank="1" showInputMessage="1" showErrorMessage="1" errorTitle="Invalid value entered" error="The Average Depth Embededdment you entered is invalid. The Average Depth Embededdment must be &lt;= 4.59 and &gt;= 0.01" sqref="Q14" xr:uid="{CE3803A7-2992-CD44-872B-92D217222011}">
      <formula1>0.01</formula1>
      <formula2>4.59</formula2>
    </dataValidation>
    <dataValidation type="decimal" allowBlank="1" showInputMessage="1" showErrorMessage="1" errorTitle="Invalid value entered" error="The Average Depth Embededdment you entered is invalid. The Average Depth Embededdment must be &lt;= 1.64 and &gt;= 0.01" sqref="Q15" xr:uid="{5387C431-9538-9346-B982-E4119F92AA84}">
      <formula1>0.01</formula1>
      <formula2>1.64</formula2>
    </dataValidation>
    <dataValidation type="decimal" allowBlank="1" showInputMessage="1" showErrorMessage="1" errorTitle="Invalid value entered" error="The Average Depth Embededdment you entered is invalid. The Average Depth Embededdment must be &lt;= 2.59 and &gt;= 0.01" sqref="Q16" xr:uid="{AB39067A-43D0-834B-B11E-0D1EBDA0576F}">
      <formula1>0.01</formula1>
      <formula2>2.59</formula2>
    </dataValidation>
    <dataValidation type="decimal" allowBlank="1" showInputMessage="1" showErrorMessage="1" errorTitle="Invalid value entered" error="The Average Depth Embededdment you entered is invalid. The Average Depth Embededdment must be &lt;= 3.49 and &gt;= 0.01" sqref="Q17" xr:uid="{3C016A49-86C1-D04B-8380-63440AFADE9E}">
      <formula1>0.01</formula1>
      <formula2>3.49</formula2>
    </dataValidation>
    <dataValidation type="decimal" allowBlank="1" showInputMessage="1" showErrorMessage="1" errorTitle="Invalid value entered" error="The Average Depth Embededdment you entered is invalid. The Average Depth Embededdment must be &lt;= 2.89 and &gt;= 0.01" sqref="Q18" xr:uid="{5838996E-CD76-654D-B3E7-74EC4D8880AD}">
      <formula1>0.01</formula1>
      <formula2>2.89</formula2>
    </dataValidation>
    <dataValidation type="list" allowBlank="1" showInputMessage="1" showErrorMessage="1" errorTitle="Invalid value entered" error="The crossing subtype is not compatible with a crossing type of Open Bottom Structure" sqref="M19" xr:uid="{D81BD51B-5CFB-414F-B07D-25C7D79A2C72}">
      <formula1>"Bridge, Pipe Arch, Wood Box Culvert"</formula1>
    </dataValidation>
    <dataValidation type="decimal" allowBlank="1" showInputMessage="1" showErrorMessage="1" errorTitle="Invalid Diamter or Span" error="The Diameter or Span entered is invalid. Diameter or Span must be &gt; 0 and &lt; 100" sqref="N19" xr:uid="{1165E1E2-1D04-E347-8434-BB942896F111}">
      <formula1>0.01</formula1>
      <formula2>100</formula2>
    </dataValidation>
    <dataValidation type="decimal" allowBlank="1" showInputMessage="1" showErrorMessage="1" errorTitle="Invalid value entered" error="The Average Depth Embededdment you entered is invalid. The Average Depth Embededdment must be &lt;= 18.29 and &gt;= 0.01" sqref="Q19" xr:uid="{F28E672A-20F9-EB40-A58F-CBCB663703AB}">
      <formula1>0.01</formula1>
      <formula2>18.29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2025-11-14T00:02:33Z</dcterms:modified>
</cp:coreProperties>
</file>